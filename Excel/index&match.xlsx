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 2026\ASDC\"/>
    </mc:Choice>
  </mc:AlternateContent>
  <xr:revisionPtr revIDLastSave="0" documentId="13_ncr:1_{08289CF2-3D59-4A11-AAF4-BA8FDAB7B146}" xr6:coauthVersionLast="47" xr6:coauthVersionMax="47" xr10:uidLastSave="{00000000-0000-0000-0000-000000000000}"/>
  <bookViews>
    <workbookView xWindow="-110" yWindow="-110" windowWidth="19420" windowHeight="11500" activeTab="1" xr2:uid="{998D2799-500C-4DF2-94BC-C80E3E92793E}"/>
  </bookViews>
  <sheets>
    <sheet name="products" sheetId="1" r:id="rId1"/>
    <sheet name="answer" sheetId="6" r:id="rId2"/>
    <sheet name="task" sheetId="5" r:id="rId3"/>
    <sheet name="sales" sheetId="4" r:id="rId4"/>
    <sheet name="customers" sheetId="2" r:id="rId5"/>
    <sheet name="stor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0" i="6" l="1"/>
  <c r="C150" i="6"/>
  <c r="G150" i="6" s="1"/>
  <c r="G147" i="6"/>
  <c r="G145" i="6"/>
  <c r="E147" i="6"/>
  <c r="C147" i="6"/>
  <c r="E145" i="6"/>
  <c r="C145" i="6"/>
  <c r="J127" i="6"/>
  <c r="C141" i="6"/>
  <c r="E127" i="6"/>
  <c r="N128" i="6"/>
  <c r="M128" i="6"/>
  <c r="L128" i="6"/>
  <c r="K128" i="6"/>
  <c r="J128" i="6"/>
  <c r="I128" i="6"/>
  <c r="H128" i="6"/>
  <c r="G128" i="6"/>
  <c r="E128" i="6"/>
  <c r="D128" i="6"/>
  <c r="F128" i="6"/>
  <c r="N127" i="6"/>
  <c r="M127" i="6"/>
  <c r="L127" i="6"/>
  <c r="K127" i="6"/>
  <c r="H127" i="6"/>
  <c r="I127" i="6"/>
  <c r="G127" i="6"/>
  <c r="F127" i="6"/>
  <c r="D127" i="6"/>
  <c r="D117" i="6"/>
  <c r="D118" i="6"/>
  <c r="D119" i="6"/>
  <c r="D120" i="6"/>
  <c r="D121" i="6"/>
  <c r="T102" i="6"/>
  <c r="T103" i="6"/>
  <c r="T104" i="6"/>
  <c r="T105" i="6"/>
  <c r="T106" i="6"/>
  <c r="T107" i="6"/>
  <c r="T108" i="6"/>
  <c r="T109" i="6"/>
  <c r="T110" i="6"/>
  <c r="T101" i="6"/>
  <c r="S102" i="6"/>
  <c r="S103" i="6"/>
  <c r="S104" i="6"/>
  <c r="S105" i="6"/>
  <c r="S101" i="6"/>
  <c r="R102" i="6"/>
  <c r="R103" i="6"/>
  <c r="R104" i="6"/>
  <c r="R105" i="6"/>
  <c r="R106" i="6"/>
  <c r="R107" i="6"/>
  <c r="R108" i="6"/>
  <c r="R109" i="6"/>
  <c r="R110" i="6"/>
  <c r="R101" i="6"/>
  <c r="Q102" i="6"/>
  <c r="Q103" i="6"/>
  <c r="Q104" i="6"/>
  <c r="Q105" i="6"/>
  <c r="Q106" i="6"/>
  <c r="Q107" i="6"/>
  <c r="Q108" i="6"/>
  <c r="Q109" i="6"/>
  <c r="Q110" i="6"/>
  <c r="Q101" i="6"/>
  <c r="P102" i="6"/>
  <c r="P103" i="6"/>
  <c r="P104" i="6"/>
  <c r="P105" i="6"/>
  <c r="P106" i="6"/>
  <c r="P107" i="6"/>
  <c r="P108" i="6"/>
  <c r="P109" i="6"/>
  <c r="P110" i="6"/>
  <c r="P101" i="6"/>
  <c r="O102" i="6"/>
  <c r="O103" i="6"/>
  <c r="O104" i="6"/>
  <c r="O105" i="6"/>
  <c r="O106" i="6"/>
  <c r="O107" i="6"/>
  <c r="O108" i="6"/>
  <c r="O109" i="6"/>
  <c r="O110" i="6"/>
  <c r="O101" i="6"/>
  <c r="B88" i="6"/>
  <c r="B89" i="6"/>
  <c r="D97" i="6"/>
  <c r="D89" i="6"/>
  <c r="D90" i="6"/>
  <c r="D91" i="6"/>
  <c r="D92" i="6"/>
  <c r="D93" i="6"/>
  <c r="D94" i="6"/>
  <c r="D95" i="6"/>
  <c r="D96" i="6"/>
  <c r="D88" i="6"/>
  <c r="C89" i="6"/>
  <c r="C90" i="6"/>
  <c r="C91" i="6"/>
  <c r="C92" i="6"/>
  <c r="C93" i="6"/>
  <c r="C94" i="6"/>
  <c r="C95" i="6"/>
  <c r="C96" i="6"/>
  <c r="C97" i="6"/>
  <c r="C88" i="6"/>
  <c r="B90" i="6"/>
  <c r="B91" i="6"/>
  <c r="B92" i="6"/>
  <c r="B93" i="6"/>
  <c r="B94" i="6"/>
  <c r="B95" i="6"/>
  <c r="B96" i="6"/>
  <c r="B97" i="6"/>
  <c r="U102" i="6"/>
  <c r="U103" i="6"/>
  <c r="V103" i="6" s="1"/>
  <c r="U104" i="6"/>
  <c r="V104" i="6" s="1"/>
  <c r="U105" i="6"/>
  <c r="V105" i="6" s="1"/>
  <c r="U106" i="6"/>
  <c r="V106" i="6" s="1"/>
  <c r="U107" i="6"/>
  <c r="V107" i="6" s="1"/>
  <c r="U108" i="6"/>
  <c r="V108" i="6" s="1"/>
  <c r="U109" i="6"/>
  <c r="V109" i="6" s="1"/>
  <c r="U110" i="6"/>
  <c r="V110" i="6" s="1"/>
  <c r="U101" i="6"/>
  <c r="V101" i="6" s="1"/>
  <c r="V102" i="6"/>
  <c r="C76" i="6"/>
  <c r="C77" i="6"/>
  <c r="C78" i="6"/>
  <c r="C79" i="6"/>
  <c r="C80" i="6"/>
  <c r="C81" i="6"/>
  <c r="C82" i="6"/>
  <c r="C83" i="6"/>
  <c r="C84" i="6"/>
  <c r="C75" i="6"/>
  <c r="C68" i="6"/>
  <c r="C69" i="6"/>
  <c r="C70" i="6"/>
  <c r="C71" i="6"/>
  <c r="C67" i="6"/>
  <c r="C55" i="6"/>
  <c r="C56" i="6"/>
  <c r="C57" i="6"/>
  <c r="C58" i="6"/>
  <c r="C59" i="6"/>
  <c r="C60" i="6"/>
  <c r="C61" i="6"/>
  <c r="C62" i="6"/>
  <c r="C63" i="6"/>
  <c r="C54" i="6"/>
  <c r="C42" i="6"/>
  <c r="C43" i="6"/>
  <c r="C44" i="6"/>
  <c r="C45" i="6"/>
  <c r="C46" i="6"/>
  <c r="C47" i="6"/>
  <c r="C48" i="6"/>
  <c r="C49" i="6"/>
  <c r="C50" i="6"/>
  <c r="C41" i="6"/>
  <c r="C38" i="6"/>
  <c r="C35" i="6"/>
  <c r="C32" i="6"/>
  <c r="C29" i="6"/>
  <c r="C26" i="6"/>
  <c r="C23" i="6"/>
  <c r="C20" i="6"/>
  <c r="C17" i="6"/>
  <c r="C14" i="6"/>
  <c r="C11" i="6"/>
  <c r="C8" i="6"/>
  <c r="C4" i="6"/>
</calcChain>
</file>

<file path=xl/sharedStrings.xml><?xml version="1.0" encoding="utf-8"?>
<sst xmlns="http://schemas.openxmlformats.org/spreadsheetml/2006/main" count="378" uniqueCount="202">
  <si>
    <t>Product ID</t>
  </si>
  <si>
    <t>Product Name</t>
  </si>
  <si>
    <t>Category</t>
  </si>
  <si>
    <t>Brand</t>
  </si>
  <si>
    <t>Price</t>
  </si>
  <si>
    <t>Stock</t>
  </si>
  <si>
    <t>P1001</t>
  </si>
  <si>
    <t>Laptop</t>
  </si>
  <si>
    <t>Electronics</t>
  </si>
  <si>
    <t>Dell</t>
  </si>
  <si>
    <t>P1002</t>
  </si>
  <si>
    <t>Smartphone</t>
  </si>
  <si>
    <t>Samsung</t>
  </si>
  <si>
    <t>P1003</t>
  </si>
  <si>
    <t>Headphones</t>
  </si>
  <si>
    <t>Sony</t>
  </si>
  <si>
    <t>P1004</t>
  </si>
  <si>
    <t>Keyboard</t>
  </si>
  <si>
    <t>Accessories</t>
  </si>
  <si>
    <t>Logitech</t>
  </si>
  <si>
    <t>P1005</t>
  </si>
  <si>
    <t>Mouse</t>
  </si>
  <si>
    <t>HP</t>
  </si>
  <si>
    <t>P1006</t>
  </si>
  <si>
    <t>Printer</t>
  </si>
  <si>
    <t>Canon</t>
  </si>
  <si>
    <t>P1007</t>
  </si>
  <si>
    <t>Office Chair</t>
  </si>
  <si>
    <t>Furniture</t>
  </si>
  <si>
    <t>Green Soul</t>
  </si>
  <si>
    <t>P1008</t>
  </si>
  <si>
    <t>Office Desk</t>
  </si>
  <si>
    <t>IKEA</t>
  </si>
  <si>
    <t>P1009</t>
  </si>
  <si>
    <t>Monitor</t>
  </si>
  <si>
    <t>LG</t>
  </si>
  <si>
    <t>P1010</t>
  </si>
  <si>
    <t>Webcam</t>
  </si>
  <si>
    <t>Customer ID</t>
  </si>
  <si>
    <t>Customer Name</t>
  </si>
  <si>
    <t>City</t>
  </si>
  <si>
    <t>State</t>
  </si>
  <si>
    <t>Gender</t>
  </si>
  <si>
    <t>C001</t>
  </si>
  <si>
    <t>Amit Patel</t>
  </si>
  <si>
    <t>Ahmedabad</t>
  </si>
  <si>
    <t>Gujarat</t>
  </si>
  <si>
    <t>Male</t>
  </si>
  <si>
    <t>C002</t>
  </si>
  <si>
    <t>Priya Shah</t>
  </si>
  <si>
    <t>Surat</t>
  </si>
  <si>
    <t>Female</t>
  </si>
  <si>
    <t>C003</t>
  </si>
  <si>
    <t>Rahul Mehta</t>
  </si>
  <si>
    <t>Mumbai</t>
  </si>
  <si>
    <t>Maharashtra</t>
  </si>
  <si>
    <t>C004</t>
  </si>
  <si>
    <t>Sneha Joshi</t>
  </si>
  <si>
    <t>Pune</t>
  </si>
  <si>
    <t>C005</t>
  </si>
  <si>
    <t>Arjun Singh</t>
  </si>
  <si>
    <t>Jaipur</t>
  </si>
  <si>
    <t>Rajasthan</t>
  </si>
  <si>
    <t>C006</t>
  </si>
  <si>
    <t>Neha Verma</t>
  </si>
  <si>
    <t>Delhi</t>
  </si>
  <si>
    <t>C007</t>
  </si>
  <si>
    <t>Rohan Gupta</t>
  </si>
  <si>
    <t>Indore</t>
  </si>
  <si>
    <t>Madhya Pradesh</t>
  </si>
  <si>
    <t>C008</t>
  </si>
  <si>
    <t>Pooja Sharma</t>
  </si>
  <si>
    <t>Lucknow</t>
  </si>
  <si>
    <t>Uttar Pradesh</t>
  </si>
  <si>
    <t>C009</t>
  </si>
  <si>
    <t>Karan Desai</t>
  </si>
  <si>
    <t>Vadodara</t>
  </si>
  <si>
    <t>C010</t>
  </si>
  <si>
    <t>Anjali Nair</t>
  </si>
  <si>
    <t>Kochi</t>
  </si>
  <si>
    <t>Kerala</t>
  </si>
  <si>
    <t>Store ID</t>
  </si>
  <si>
    <t>Store Name</t>
  </si>
  <si>
    <t>S001</t>
  </si>
  <si>
    <t>Alpha Store</t>
  </si>
  <si>
    <t>S002</t>
  </si>
  <si>
    <t>Beta Store</t>
  </si>
  <si>
    <t>S003</t>
  </si>
  <si>
    <t>Central Store</t>
  </si>
  <si>
    <t>S004</t>
  </si>
  <si>
    <t>Digital Hub</t>
  </si>
  <si>
    <t>S005</t>
  </si>
  <si>
    <t>Smart World</t>
  </si>
  <si>
    <t>Sale ID</t>
  </si>
  <si>
    <t>Quantity</t>
  </si>
  <si>
    <t>Date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</si>
  <si>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</si>
  <si>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</si>
  <si>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</si>
  <si>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</si>
  <si>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</si>
  <si>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</si>
  <si>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</si>
  <si>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</si>
  <si>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</si>
  <si>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</si>
  <si>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</si>
  <si>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</si>
  <si>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</si>
  <si>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</si>
  <si>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</si>
  <si>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# Practice Tasks</t>
  </si>
  <si>
    <t>## Beginner</t>
  </si>
  <si>
    <t>### Task 1</t>
  </si>
  <si>
    <t>Find the **Product Name** for Product ID **P1006**.</t>
  </si>
  <si>
    <t>### Task 2</t>
  </si>
  <si>
    <t>Find the **Price** for Product ID **P1008**.</t>
  </si>
  <si>
    <t>### Task 3</t>
  </si>
  <si>
    <t>Find the **Brand** for Product ID **P1003**.</t>
  </si>
  <si>
    <t>### Task 4</t>
  </si>
  <si>
    <t>Find the **Stock** for Product ID **P1005**.</t>
  </si>
  <si>
    <t>### Task 5</t>
  </si>
  <si>
    <t>Find the **Category** for Product ID **P1004**.</t>
  </si>
  <si>
    <t>## Customer Lookup</t>
  </si>
  <si>
    <t>### Task 6</t>
  </si>
  <si>
    <t>Find the Customer Name for **C007**.</t>
  </si>
  <si>
    <t>### Task 7</t>
  </si>
  <si>
    <t>Find the City for **C010**.</t>
  </si>
  <si>
    <t>### Task 8</t>
  </si>
  <si>
    <t>Find the State for **C003**.</t>
  </si>
  <si>
    <t>### Task 9</t>
  </si>
  <si>
    <t>Find the Gender for **C006**.</t>
  </si>
  <si>
    <t>## Store Lookup</t>
  </si>
  <si>
    <t>### Task 10</t>
  </si>
  <si>
    <t>Find the Store Name for **S003**.</t>
  </si>
  <si>
    <t>### Task 11</t>
  </si>
  <si>
    <t>Find the Store City for **S005**.</t>
  </si>
  <si>
    <t>### Task 12</t>
  </si>
  <si>
    <t>Find the Store State for **S002**.</t>
  </si>
  <si>
    <t>## Sales Analysis</t>
  </si>
  <si>
    <t>### Task 13</t>
  </si>
  <si>
    <t>Retrieve the Product Name for every Product ID in the Sales sheet.</t>
  </si>
  <si>
    <t>### Task 14</t>
  </si>
  <si>
    <t>Retrieve the Customer Name for every Customer ID in the Sales sheet.</t>
  </si>
  <si>
    <t>### Task 15</t>
  </si>
  <si>
    <t>Retrieve the Store Name for every Store ID in the Sales sheet.</t>
  </si>
  <si>
    <t>### Task 16</t>
  </si>
  <si>
    <t>Retrieve the Product Price for every Product ID in the Sales sheet.</t>
  </si>
  <si>
    <t>### Task 17</t>
  </si>
  <si>
    <t>Create a **Total Sales** column.</t>
  </si>
  <si>
    <t>**Formula Logic**</t>
  </si>
  <si>
    <t>``` text</t>
  </si>
  <si>
    <t>Total Sales = Quantity × Product Price</t>
  </si>
  <si>
    <t>```</t>
  </si>
  <si>
    <t>Retrieve Product Price using **INDEX + MATCH**.</t>
  </si>
  <si>
    <t>## Advanced</t>
  </si>
  <si>
    <t>### Task 18</t>
  </si>
  <si>
    <t>Create a report with:</t>
  </si>
  <si>
    <t>-   Sale ID</t>
  </si>
  <si>
    <t>-   Product Name</t>
  </si>
  <si>
    <t>-   Category</t>
  </si>
  <si>
    <t>-   Customer Name</t>
  </si>
  <si>
    <t>-   Store Name</t>
  </si>
  <si>
    <t>-   Quantity</t>
  </si>
  <si>
    <t>-   Price</t>
  </si>
  <si>
    <t>-   Total Sales</t>
  </si>
  <si>
    <t>### Task 19</t>
  </si>
  <si>
    <t>Create a Dynamic Product Search.</t>
  </si>
  <si>
    <t>Input: Product ID</t>
  </si>
  <si>
    <t>Output: - Product Name - Category - Brand - Price - Stock</t>
  </si>
  <si>
    <t>### Task 20</t>
  </si>
  <si>
    <t>Create a Transaction Dashboard.</t>
  </si>
  <si>
    <t>Input: Sale ID</t>
  </si>
  <si>
    <t>Display: - Product Name - Category - Brand - Customer Name - Customer</t>
  </si>
  <si>
    <t>City - Store Name - Store City - Quantity - Product Price - Total</t>
  </si>
  <si>
    <t>Sales - Date</t>
  </si>
  <si>
    <t>&gt; Use **INDEX + MATCH** for every lookup field.</t>
  </si>
  <si>
    <t>brand</t>
  </si>
  <si>
    <t>stock</t>
  </si>
  <si>
    <t>category</t>
  </si>
  <si>
    <t>cust name</t>
  </si>
  <si>
    <t>cus ID</t>
  </si>
  <si>
    <t>city</t>
  </si>
  <si>
    <t>state</t>
  </si>
  <si>
    <t>store id</t>
  </si>
  <si>
    <t>gender</t>
  </si>
  <si>
    <t>name</t>
  </si>
  <si>
    <t>Product price</t>
  </si>
  <si>
    <t>Total sale</t>
  </si>
  <si>
    <t>Sale Id</t>
  </si>
  <si>
    <t xml:space="preserve">Product name </t>
  </si>
  <si>
    <t>Customer City</t>
  </si>
  <si>
    <t>Store City</t>
  </si>
  <si>
    <t>Total Sale</t>
  </si>
  <si>
    <t>Index &amp; match</t>
  </si>
  <si>
    <t>Xlookup</t>
  </si>
  <si>
    <t xml:space="preserve">SALES REPORT DASHBOARD </t>
  </si>
  <si>
    <t>SALE ID :</t>
  </si>
  <si>
    <t>Customer Details</t>
  </si>
  <si>
    <t>Product Details</t>
  </si>
  <si>
    <t>Store Details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</si>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</sst>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Verdana"/>
      <family val="2"/>
    </font>
    <font>
      <sz val="11"/>
      <color theme="0"/>
      <name val="Candara"/>
      <family val="2"/>
    </font>
    <font>
      <sz val="14"/>
      <color theme="0"/>
      <name val="Calibri"/>
      <family val="2"/>
      <scheme val="minor"/>
    </font>
    <font>
      <sz val="14"/>
      <color theme="1"/>
      <name val="Lucida Sans"/>
      <family val="2"/>
    </font>
    <font>
      <sz val="12"/>
      <color theme="1"/>
      <name val="Bahnschrift"/>
      <family val="2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11"/>
      <color theme="0"/>
      <name val="Berlin Sans FB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5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3" fillId="4" borderId="0" xfId="0" applyFont="1" applyFill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2" fillId="0" borderId="0" xfId="0" applyFont="1" applyAlignment="1">
      <alignment horizontal="left" vertical="center"/>
    </xf>
    <xf numFmtId="0" fontId="3" fillId="6" borderId="1" xfId="0" applyFont="1" applyFill="1" applyBorder="1"/>
    <xf numFmtId="0" fontId="3" fillId="7" borderId="1" xfId="0" applyFont="1" applyFill="1" applyBorder="1"/>
    <xf numFmtId="0" fontId="0" fillId="3" borderId="1" xfId="0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3"/>
    </xf>
    <xf numFmtId="0" fontId="4" fillId="0" borderId="0" xfId="0" applyFont="1" applyBorder="1" applyAlignment="1">
      <alignment horizontal="left" vertical="center" indent="3"/>
    </xf>
    <xf numFmtId="0" fontId="4" fillId="0" borderId="14" xfId="0" applyFont="1" applyBorder="1" applyAlignment="1">
      <alignment horizontal="left" vertical="center" indent="3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/>
    </xf>
    <xf numFmtId="0" fontId="11" fillId="10" borderId="0" xfId="0" applyFont="1" applyFill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2" fillId="10" borderId="15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600205</xdr:colOff>
      <xdr:row>98</xdr:row>
      <xdr:rowOff>10691</xdr:rowOff>
    </xdr:from>
    <xdr:to>
      <xdr:col>8</xdr:col>
      <xdr:colOff>607856</xdr:colOff>
      <xdr:row>111</xdr:row>
      <xdr:rowOff>113083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4D7605-0916-4FB9-8814-930F6EAAB7BA}"/>
            </a:ext>
          </a:extLst>
        </xdr:cNvPr>
        <xdr:cNvSpPr/>
      </xdr:nvSpPr>
      <xdr:spPr>
        <a:xfrm>
          <a:off x="600205" y="17912472"/>
          <a:ext cx="6392446" cy="247711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600206</xdr:colOff>
      <xdr:row>98</xdr:row>
      <xdr:rowOff>17397</xdr:rowOff>
    </xdr:from>
    <xdr:to>
      <xdr:col>8</xdr:col>
      <xdr:colOff>607857</xdr:colOff>
      <xdr:row>111</xdr:row>
      <xdr:rowOff>130479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CE3C00A8-08DC-466F-A359-64D158D163BA}"/>
            </a:ext>
          </a:extLst>
        </xdr:cNvPr>
        <xdr:cNvSpPr/>
      </xdr:nvSpPr>
      <xdr:spPr>
        <a:xfrm>
          <a:off x="600206" y="17919178"/>
          <a:ext cx="6392446" cy="2487808"/>
        </a:xfrm>
        <a:prstGeom prst="frame">
          <a:avLst>
            <a:gd name="adj1" fmla="val 27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104385</xdr:colOff>
      <xdr:row>98</xdr:row>
      <xdr:rowOff>139178</xdr:rowOff>
    </xdr:from>
    <xdr:to>
      <xdr:col>8</xdr:col>
      <xdr:colOff>51091</xdr:colOff>
      <xdr:row>111</xdr:row>
      <xdr:rowOff>43493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A5079E-0AD4-4879-8882-9D373F15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89" y="18040959"/>
          <a:ext cx="6140950" cy="2279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8963-989F-41E4-BA1B-67B8F31B11F0}">
  <dimension ref="A1:F11"/>
  <sheetViews>
    <sheetView workbookViewId="0">
      <selection activeCell="D25" sqref="D25"/>
    </sheetView>
  </sheetViews>
  <sheetFormatPr defaultRowHeight="14.5" x14ac:dyDescent="0.35"/>
  <cols>
    <col min="1" max="1" width="9.54296875" bestFit="1" customWidth="1"/>
    <col min="2" max="2" width="12.6328125" bestFit="1" customWidth="1"/>
    <col min="3" max="3" width="10.36328125" bestFit="1" customWidth="1"/>
    <col min="4" max="4" width="9.90625" bestFit="1" customWidth="1"/>
    <col min="5" max="5" width="5.81640625" bestFit="1" customWidth="1"/>
    <col min="6" max="6" width="5.179687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55000</v>
      </c>
      <c r="F2">
        <v>25</v>
      </c>
    </row>
    <row r="3" spans="1:6" x14ac:dyDescent="0.35">
      <c r="A3" t="s">
        <v>10</v>
      </c>
      <c r="B3" t="s">
        <v>11</v>
      </c>
      <c r="C3" t="s">
        <v>8</v>
      </c>
      <c r="D3" t="s">
        <v>12</v>
      </c>
      <c r="E3">
        <v>32000</v>
      </c>
      <c r="F3">
        <v>40</v>
      </c>
    </row>
    <row r="4" spans="1:6" x14ac:dyDescent="0.35">
      <c r="A4" t="s">
        <v>13</v>
      </c>
      <c r="B4" t="s">
        <v>14</v>
      </c>
      <c r="C4" t="s">
        <v>8</v>
      </c>
      <c r="D4" t="s">
        <v>15</v>
      </c>
      <c r="E4">
        <v>4500</v>
      </c>
      <c r="F4">
        <v>80</v>
      </c>
    </row>
    <row r="5" spans="1:6" x14ac:dyDescent="0.35">
      <c r="A5" t="s">
        <v>16</v>
      </c>
      <c r="B5" t="s">
        <v>17</v>
      </c>
      <c r="C5" t="s">
        <v>18</v>
      </c>
      <c r="D5" t="s">
        <v>19</v>
      </c>
      <c r="E5">
        <v>1800</v>
      </c>
      <c r="F5">
        <v>65</v>
      </c>
    </row>
    <row r="6" spans="1:6" x14ac:dyDescent="0.35">
      <c r="A6" t="s">
        <v>20</v>
      </c>
      <c r="B6" t="s">
        <v>21</v>
      </c>
      <c r="C6" t="s">
        <v>18</v>
      </c>
      <c r="D6" t="s">
        <v>22</v>
      </c>
      <c r="E6">
        <v>900</v>
      </c>
      <c r="F6">
        <v>120</v>
      </c>
    </row>
    <row r="7" spans="1:6" x14ac:dyDescent="0.35">
      <c r="A7" t="s">
        <v>23</v>
      </c>
      <c r="B7" t="s">
        <v>24</v>
      </c>
      <c r="C7" t="s">
        <v>8</v>
      </c>
      <c r="D7" t="s">
        <v>25</v>
      </c>
      <c r="E7">
        <v>12500</v>
      </c>
      <c r="F7">
        <v>18</v>
      </c>
    </row>
    <row r="8" spans="1:6" x14ac:dyDescent="0.35">
      <c r="A8" t="s">
        <v>26</v>
      </c>
      <c r="B8" t="s">
        <v>27</v>
      </c>
      <c r="C8" t="s">
        <v>28</v>
      </c>
      <c r="D8" t="s">
        <v>29</v>
      </c>
      <c r="E8">
        <v>8500</v>
      </c>
      <c r="F8">
        <v>20</v>
      </c>
    </row>
    <row r="9" spans="1:6" x14ac:dyDescent="0.35">
      <c r="A9" t="s">
        <v>30</v>
      </c>
      <c r="B9" t="s">
        <v>31</v>
      </c>
      <c r="C9" t="s">
        <v>28</v>
      </c>
      <c r="D9" t="s">
        <v>32</v>
      </c>
      <c r="E9">
        <v>12000</v>
      </c>
      <c r="F9">
        <v>15</v>
      </c>
    </row>
    <row r="10" spans="1:6" x14ac:dyDescent="0.35">
      <c r="A10" t="s">
        <v>33</v>
      </c>
      <c r="B10" t="s">
        <v>34</v>
      </c>
      <c r="C10" t="s">
        <v>8</v>
      </c>
      <c r="D10" t="s">
        <v>35</v>
      </c>
      <c r="E10">
        <v>16000</v>
      </c>
      <c r="F10">
        <v>30</v>
      </c>
    </row>
    <row r="11" spans="1:6" x14ac:dyDescent="0.35">
      <c r="A11" t="s">
        <v>36</v>
      </c>
      <c r="B11" t="s">
        <v>37</v>
      </c>
      <c r="C11" t="s">
        <v>18</v>
      </c>
      <c r="D11" t="s">
        <v>19</v>
      </c>
      <c r="E11">
        <v>3500</v>
      </c>
      <c r="F11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036F-75E8-4FCF-A564-71B4B003EBD7}">
  <sheetPr>
    <tabColor theme="9"/>
  </sheetPr>
  <dimension ref="A1:V151"/>
  <sheetViews>
    <sheetView tabSelected="1" topLeftCell="B130" zoomScale="85" zoomScaleNormal="85" workbookViewId="0">
      <selection activeCell="J137" sqref="J137"/>
    </sheetView>
  </sheetViews>
  <sheetFormatPr defaultRowHeight="14.5" x14ac:dyDescent="0.35"/>
  <cols>
    <col min="2" max="2" width="13" bestFit="1" customWidth="1"/>
    <col min="3" max="5" width="14.36328125" bestFit="1" customWidth="1"/>
    <col min="6" max="6" width="13" bestFit="1" customWidth="1"/>
    <col min="7" max="7" width="11.36328125" bestFit="1" customWidth="1"/>
    <col min="8" max="8" width="8.453125" bestFit="1" customWidth="1"/>
    <col min="9" max="9" width="6.453125" customWidth="1"/>
    <col min="10" max="10" width="14.36328125" bestFit="1" customWidth="1"/>
    <col min="11" max="11" width="12.453125" bestFit="1" customWidth="1"/>
    <col min="12" max="12" width="12.6328125" bestFit="1" customWidth="1"/>
    <col min="16" max="16" width="12.6328125" bestFit="1" customWidth="1"/>
    <col min="17" max="17" width="10.453125" bestFit="1" customWidth="1"/>
    <col min="18" max="18" width="14.36328125" bestFit="1" customWidth="1"/>
    <col min="19" max="19" width="11.6328125" bestFit="1" customWidth="1"/>
    <col min="20" max="20" width="8" bestFit="1" customWidth="1"/>
  </cols>
  <sheetData>
    <row r="1" spans="1:3" x14ac:dyDescent="0.35">
      <c r="A1">
        <v>1</v>
      </c>
    </row>
    <row r="3" spans="1:3" x14ac:dyDescent="0.35">
      <c r="B3" s="4" t="s">
        <v>0</v>
      </c>
      <c r="C3" s="4" t="s">
        <v>1</v>
      </c>
    </row>
    <row r="4" spans="1:3" x14ac:dyDescent="0.35">
      <c r="B4" t="s">
        <v>23</v>
      </c>
      <c r="C4" t="str">
        <f>INDEX(products!B:B, MATCH(B4, products!A:A, 0))</f>
        <v>Printer</v>
      </c>
    </row>
    <row r="7" spans="1:3" x14ac:dyDescent="0.35">
      <c r="A7">
        <v>2</v>
      </c>
      <c r="B7" s="4" t="s">
        <v>0</v>
      </c>
      <c r="C7" s="4" t="s">
        <v>4</v>
      </c>
    </row>
    <row r="8" spans="1:3" x14ac:dyDescent="0.35">
      <c r="B8" t="s">
        <v>30</v>
      </c>
      <c r="C8">
        <f>INDEX(products!A1:F11,MATCH(B8,products!A:A,0),5)</f>
        <v>12000</v>
      </c>
    </row>
    <row r="10" spans="1:3" x14ac:dyDescent="0.35">
      <c r="A10">
        <v>3</v>
      </c>
      <c r="B10" s="4" t="s">
        <v>0</v>
      </c>
      <c r="C10" s="4" t="s">
        <v>177</v>
      </c>
    </row>
    <row r="11" spans="1:3" x14ac:dyDescent="0.35">
      <c r="B11" t="s">
        <v>13</v>
      </c>
      <c r="C11" t="str">
        <f>INDEX(products!$A$1:$F$11,MATCH(answer!B11,products!A:A,0),4)</f>
        <v>Sony</v>
      </c>
    </row>
    <row r="13" spans="1:3" x14ac:dyDescent="0.35">
      <c r="A13">
        <v>4</v>
      </c>
      <c r="B13" s="4" t="s">
        <v>0</v>
      </c>
      <c r="C13" s="4" t="s">
        <v>178</v>
      </c>
    </row>
    <row r="14" spans="1:3" x14ac:dyDescent="0.35">
      <c r="B14" t="s">
        <v>20</v>
      </c>
      <c r="C14">
        <f>INDEX(products!$A$1:$F$11,MATCH(answer!B14,products!A:A,0),6)</f>
        <v>120</v>
      </c>
    </row>
    <row r="16" spans="1:3" x14ac:dyDescent="0.35">
      <c r="A16">
        <v>5</v>
      </c>
      <c r="B16" s="4" t="s">
        <v>0</v>
      </c>
      <c r="C16" s="4" t="s">
        <v>179</v>
      </c>
    </row>
    <row r="17" spans="1:3" x14ac:dyDescent="0.35">
      <c r="B17" t="s">
        <v>16</v>
      </c>
      <c r="C17" t="str">
        <f>INDEX(products!$A$1:$F$11,MATCH(answer!B17,products!A:A,0),4)</f>
        <v>Logitech</v>
      </c>
    </row>
    <row r="19" spans="1:3" x14ac:dyDescent="0.35">
      <c r="A19">
        <v>6</v>
      </c>
      <c r="B19" s="4" t="s">
        <v>181</v>
      </c>
      <c r="C19" s="4" t="s">
        <v>180</v>
      </c>
    </row>
    <row r="20" spans="1:3" x14ac:dyDescent="0.35">
      <c r="B20" t="s">
        <v>66</v>
      </c>
      <c r="C20" t="str">
        <f>INDEX(customers!$A$1:$E$11,MATCH(answer!B20,customers!A:A,0),2)</f>
        <v>Rohan Gupta</v>
      </c>
    </row>
    <row r="22" spans="1:3" x14ac:dyDescent="0.35">
      <c r="A22">
        <v>7</v>
      </c>
      <c r="B22" s="4" t="s">
        <v>181</v>
      </c>
      <c r="C22" s="4" t="s">
        <v>182</v>
      </c>
    </row>
    <row r="23" spans="1:3" x14ac:dyDescent="0.35">
      <c r="B23" t="s">
        <v>77</v>
      </c>
      <c r="C23" t="str">
        <f>INDEX(customers!$A$1:$E$11,MATCH(answer!B23,customers!A:A,0),3)</f>
        <v>Kochi</v>
      </c>
    </row>
    <row r="25" spans="1:3" x14ac:dyDescent="0.35">
      <c r="A25">
        <v>8</v>
      </c>
      <c r="B25" s="4" t="s">
        <v>181</v>
      </c>
      <c r="C25" s="4" t="s">
        <v>183</v>
      </c>
    </row>
    <row r="26" spans="1:3" x14ac:dyDescent="0.35">
      <c r="B26" t="s">
        <v>52</v>
      </c>
      <c r="C26" t="str">
        <f>INDEX(customers!$A$1:$E$11,MATCH(answer!B26,customers!A:A,0),4)</f>
        <v>Maharashtra</v>
      </c>
    </row>
    <row r="28" spans="1:3" x14ac:dyDescent="0.35">
      <c r="A28">
        <v>9</v>
      </c>
      <c r="B28" s="4" t="s">
        <v>181</v>
      </c>
      <c r="C28" s="4" t="s">
        <v>185</v>
      </c>
    </row>
    <row r="29" spans="1:3" x14ac:dyDescent="0.35">
      <c r="B29" t="s">
        <v>63</v>
      </c>
      <c r="C29" t="str">
        <f>INDEX(customers!$A$1:$E$11,MATCH(answer!B29,customers!A:A,0),5)</f>
        <v>Female</v>
      </c>
    </row>
    <row r="31" spans="1:3" x14ac:dyDescent="0.35">
      <c r="A31">
        <v>10</v>
      </c>
      <c r="B31" s="4" t="s">
        <v>184</v>
      </c>
      <c r="C31" s="4" t="s">
        <v>186</v>
      </c>
    </row>
    <row r="32" spans="1:3" x14ac:dyDescent="0.35">
      <c r="B32" t="s">
        <v>87</v>
      </c>
      <c r="C32" t="str">
        <f>INDEX(stores!$A$1:$D$6,MATCH(answer!B32,stores!A:A,0),2)</f>
        <v>Central Store</v>
      </c>
    </row>
    <row r="34" spans="1:3" x14ac:dyDescent="0.35">
      <c r="A34">
        <v>11</v>
      </c>
      <c r="B34" s="4" t="s">
        <v>184</v>
      </c>
      <c r="C34" s="4" t="s">
        <v>182</v>
      </c>
    </row>
    <row r="35" spans="1:3" x14ac:dyDescent="0.35">
      <c r="B35" t="s">
        <v>91</v>
      </c>
      <c r="C35" t="str">
        <f>INDEX(stores!$A$1:$D$6,MATCH(answer!B35,stores!A:A,0),3)</f>
        <v>Jaipur</v>
      </c>
    </row>
    <row r="37" spans="1:3" x14ac:dyDescent="0.35">
      <c r="A37">
        <v>12</v>
      </c>
      <c r="B37" s="4" t="s">
        <v>184</v>
      </c>
      <c r="C37" s="4" t="s">
        <v>183</v>
      </c>
    </row>
    <row r="38" spans="1:3" x14ac:dyDescent="0.35">
      <c r="B38" t="s">
        <v>85</v>
      </c>
      <c r="C38" t="str">
        <f>INDEX(stores!$A$1:$D$6,MATCH(answer!B38,stores!A:A,0),4)</f>
        <v>Gujarat</v>
      </c>
    </row>
    <row r="40" spans="1:3" x14ac:dyDescent="0.35">
      <c r="A40">
        <v>13</v>
      </c>
      <c r="B40" s="4" t="s">
        <v>0</v>
      </c>
      <c r="C40" s="4" t="s">
        <v>1</v>
      </c>
    </row>
    <row r="41" spans="1:3" x14ac:dyDescent="0.35">
      <c r="B41" t="s">
        <v>6</v>
      </c>
      <c r="C41" t="str">
        <f>INDEX(products!$A$1:$F$11,MATCH(answer!B41,answer!$B$40:$B$50,0),2)</f>
        <v>Laptop</v>
      </c>
    </row>
    <row r="42" spans="1:3" x14ac:dyDescent="0.35">
      <c r="B42" t="s">
        <v>10</v>
      </c>
      <c r="C42" t="str">
        <f>INDEX(products!$A$1:$F$11,MATCH(answer!B42,answer!$B$40:$B$50,0),2)</f>
        <v>Smartphone</v>
      </c>
    </row>
    <row r="43" spans="1:3" x14ac:dyDescent="0.35">
      <c r="B43" t="s">
        <v>13</v>
      </c>
      <c r="C43" t="str">
        <f>INDEX(products!$A$1:$F$11,MATCH(answer!B43,answer!$B$40:$B$50,0),2)</f>
        <v>Headphones</v>
      </c>
    </row>
    <row r="44" spans="1:3" x14ac:dyDescent="0.35">
      <c r="B44" t="s">
        <v>16</v>
      </c>
      <c r="C44" t="str">
        <f>INDEX(products!$A$1:$F$11,MATCH(answer!B44,answer!$B$40:$B$50,0),2)</f>
        <v>Keyboard</v>
      </c>
    </row>
    <row r="45" spans="1:3" x14ac:dyDescent="0.35">
      <c r="B45" t="s">
        <v>20</v>
      </c>
      <c r="C45" t="str">
        <f>INDEX(products!$A$1:$F$11,MATCH(answer!B45,answer!$B$40:$B$50,0),2)</f>
        <v>Mouse</v>
      </c>
    </row>
    <row r="46" spans="1:3" x14ac:dyDescent="0.35">
      <c r="B46" t="s">
        <v>23</v>
      </c>
      <c r="C46" t="str">
        <f>INDEX(products!$A$1:$F$11,MATCH(answer!B46,answer!$B$40:$B$50,0),2)</f>
        <v>Printer</v>
      </c>
    </row>
    <row r="47" spans="1:3" x14ac:dyDescent="0.35">
      <c r="B47" t="s">
        <v>26</v>
      </c>
      <c r="C47" t="str">
        <f>INDEX(products!$A$1:$F$11,MATCH(answer!B47,answer!$B$40:$B$50,0),2)</f>
        <v>Office Chair</v>
      </c>
    </row>
    <row r="48" spans="1:3" x14ac:dyDescent="0.35">
      <c r="B48" t="s">
        <v>30</v>
      </c>
      <c r="C48" t="str">
        <f>INDEX(products!$A$1:$F$11,MATCH(answer!B48,answer!$B$40:$B$50,0),2)</f>
        <v>Office Desk</v>
      </c>
    </row>
    <row r="49" spans="1:3" x14ac:dyDescent="0.35">
      <c r="B49" t="s">
        <v>33</v>
      </c>
      <c r="C49" t="str">
        <f>INDEX(products!$A$1:$F$11,MATCH(answer!B49,answer!$B$40:$B$50,0),2)</f>
        <v>Monitor</v>
      </c>
    </row>
    <row r="50" spans="1:3" x14ac:dyDescent="0.35">
      <c r="B50" t="s">
        <v>36</v>
      </c>
      <c r="C50" t="str">
        <f>INDEX(products!$A$1:$F$11,MATCH(answer!B50,answer!$B$40:$B$50,0),2)</f>
        <v>Webcam</v>
      </c>
    </row>
    <row r="53" spans="1:3" x14ac:dyDescent="0.35">
      <c r="A53">
        <v>14</v>
      </c>
      <c r="B53" s="4" t="s">
        <v>38</v>
      </c>
      <c r="C53" s="4" t="s">
        <v>39</v>
      </c>
    </row>
    <row r="54" spans="1:3" x14ac:dyDescent="0.35">
      <c r="B54" t="s">
        <v>43</v>
      </c>
      <c r="C54" t="str">
        <f>INDEX(customers!$A$1:$E$11,MATCH(answer!B54,answer!$B$53:$B$63,0),2)</f>
        <v>Amit Patel</v>
      </c>
    </row>
    <row r="55" spans="1:3" x14ac:dyDescent="0.35">
      <c r="B55" t="s">
        <v>48</v>
      </c>
      <c r="C55" t="str">
        <f>INDEX(customers!$A$1:$E$11,MATCH(answer!B55,answer!$B$53:$B$63,0),2)</f>
        <v>Priya Shah</v>
      </c>
    </row>
    <row r="56" spans="1:3" x14ac:dyDescent="0.35">
      <c r="B56" t="s">
        <v>52</v>
      </c>
      <c r="C56" t="str">
        <f>INDEX(customers!$A$1:$E$11,MATCH(answer!B56,answer!$B$53:$B$63,0),2)</f>
        <v>Rahul Mehta</v>
      </c>
    </row>
    <row r="57" spans="1:3" x14ac:dyDescent="0.35">
      <c r="B57" t="s">
        <v>56</v>
      </c>
      <c r="C57" t="str">
        <f>INDEX(customers!$A$1:$E$11,MATCH(answer!B57,answer!$B$53:$B$63,0),2)</f>
        <v>Sneha Joshi</v>
      </c>
    </row>
    <row r="58" spans="1:3" x14ac:dyDescent="0.35">
      <c r="B58" t="s">
        <v>59</v>
      </c>
      <c r="C58" t="str">
        <f>INDEX(customers!$A$1:$E$11,MATCH(answer!B58,answer!$B$53:$B$63,0),2)</f>
        <v>Arjun Singh</v>
      </c>
    </row>
    <row r="59" spans="1:3" x14ac:dyDescent="0.35">
      <c r="B59" t="s">
        <v>63</v>
      </c>
      <c r="C59" t="str">
        <f>INDEX(customers!$A$1:$E$11,MATCH(answer!B59,answer!$B$53:$B$63,0),2)</f>
        <v>Neha Verma</v>
      </c>
    </row>
    <row r="60" spans="1:3" x14ac:dyDescent="0.35">
      <c r="B60" t="s">
        <v>66</v>
      </c>
      <c r="C60" t="str">
        <f>INDEX(customers!$A$1:$E$11,MATCH(answer!B60,answer!$B$53:$B$63,0),2)</f>
        <v>Rohan Gupta</v>
      </c>
    </row>
    <row r="61" spans="1:3" x14ac:dyDescent="0.35">
      <c r="B61" t="s">
        <v>70</v>
      </c>
      <c r="C61" t="str">
        <f>INDEX(customers!$A$1:$E$11,MATCH(answer!B61,answer!$B$53:$B$63,0),2)</f>
        <v>Pooja Sharma</v>
      </c>
    </row>
    <row r="62" spans="1:3" x14ac:dyDescent="0.35">
      <c r="B62" t="s">
        <v>74</v>
      </c>
      <c r="C62" t="str">
        <f>INDEX(customers!$A$1:$E$11,MATCH(answer!B62,answer!$B$53:$B$63,0),2)</f>
        <v>Karan Desai</v>
      </c>
    </row>
    <row r="63" spans="1:3" x14ac:dyDescent="0.35">
      <c r="B63" t="s">
        <v>77</v>
      </c>
      <c r="C63" t="str">
        <f>INDEX(customers!$A$1:$E$11,MATCH(answer!B63,answer!$B$53:$B$63,0),2)</f>
        <v>Anjali Nair</v>
      </c>
    </row>
    <row r="66" spans="1:3" x14ac:dyDescent="0.35">
      <c r="A66">
        <v>15</v>
      </c>
      <c r="B66" s="4" t="s">
        <v>81</v>
      </c>
      <c r="C66" s="4" t="s">
        <v>82</v>
      </c>
    </row>
    <row r="67" spans="1:3" x14ac:dyDescent="0.35">
      <c r="B67" t="s">
        <v>83</v>
      </c>
      <c r="C67" t="str">
        <f>INDEX(stores!$A$1:$D$6,MATCH(answer!B67,answer!$B$66:$B$71,0),2)</f>
        <v>Alpha Store</v>
      </c>
    </row>
    <row r="68" spans="1:3" x14ac:dyDescent="0.35">
      <c r="B68" t="s">
        <v>85</v>
      </c>
      <c r="C68" t="str">
        <f>INDEX(stores!$A$1:$D$6,MATCH(answer!B68,answer!$B$66:$B$71,0),2)</f>
        <v>Beta Store</v>
      </c>
    </row>
    <row r="69" spans="1:3" x14ac:dyDescent="0.35">
      <c r="B69" t="s">
        <v>87</v>
      </c>
      <c r="C69" t="str">
        <f>INDEX(stores!$A$1:$D$6,MATCH(answer!B69,answer!$B$66:$B$71,0),2)</f>
        <v>Central Store</v>
      </c>
    </row>
    <row r="70" spans="1:3" x14ac:dyDescent="0.35">
      <c r="B70" t="s">
        <v>89</v>
      </c>
      <c r="C70" t="str">
        <f>INDEX(stores!$A$1:$D$6,MATCH(answer!B70,answer!$B$66:$B$71,0),2)</f>
        <v>Digital Hub</v>
      </c>
    </row>
    <row r="71" spans="1:3" x14ac:dyDescent="0.35">
      <c r="B71" t="s">
        <v>91</v>
      </c>
      <c r="C71" t="str">
        <f>INDEX(stores!$A$1:$D$6,MATCH(answer!B71,answer!$B$66:$B$71,0),2)</f>
        <v>Smart World</v>
      </c>
    </row>
    <row r="74" spans="1:3" x14ac:dyDescent="0.35">
      <c r="A74">
        <v>16</v>
      </c>
      <c r="B74" s="4" t="s">
        <v>0</v>
      </c>
      <c r="C74" s="4" t="s">
        <v>187</v>
      </c>
    </row>
    <row r="75" spans="1:3" x14ac:dyDescent="0.35">
      <c r="B75" t="s">
        <v>6</v>
      </c>
      <c r="C75">
        <f>INDEX(products!$A$1:$F$11,MATCH(answer!B75,answer!$B$40:$B$50,0),5)</f>
        <v>55000</v>
      </c>
    </row>
    <row r="76" spans="1:3" x14ac:dyDescent="0.35">
      <c r="B76" t="s">
        <v>10</v>
      </c>
      <c r="C76">
        <f>INDEX(products!$A$1:$F$11,MATCH(answer!B76,answer!$B$40:$B$50,0),5)</f>
        <v>32000</v>
      </c>
    </row>
    <row r="77" spans="1:3" x14ac:dyDescent="0.35">
      <c r="B77" t="s">
        <v>13</v>
      </c>
      <c r="C77">
        <f>INDEX(products!$A$1:$F$11,MATCH(answer!B77,answer!$B$40:$B$50,0),5)</f>
        <v>4500</v>
      </c>
    </row>
    <row r="78" spans="1:3" x14ac:dyDescent="0.35">
      <c r="B78" t="s">
        <v>16</v>
      </c>
      <c r="C78">
        <f>INDEX(products!$A$1:$F$11,MATCH(answer!B78,answer!$B$40:$B$50,0),5)</f>
        <v>1800</v>
      </c>
    </row>
    <row r="79" spans="1:3" x14ac:dyDescent="0.35">
      <c r="B79" t="s">
        <v>20</v>
      </c>
      <c r="C79">
        <f>INDEX(products!$A$1:$F$11,MATCH(answer!B79,answer!$B$40:$B$50,0),5)</f>
        <v>900</v>
      </c>
    </row>
    <row r="80" spans="1:3" x14ac:dyDescent="0.35">
      <c r="B80" t="s">
        <v>23</v>
      </c>
      <c r="C80">
        <f>INDEX(products!$A$1:$F$11,MATCH(answer!B80,answer!$B$40:$B$50,0),5)</f>
        <v>12500</v>
      </c>
    </row>
    <row r="81" spans="1:4" x14ac:dyDescent="0.35">
      <c r="B81" t="s">
        <v>26</v>
      </c>
      <c r="C81">
        <f>INDEX(products!$A$1:$F$11,MATCH(answer!B81,answer!$B$40:$B$50,0),5)</f>
        <v>8500</v>
      </c>
    </row>
    <row r="82" spans="1:4" x14ac:dyDescent="0.35">
      <c r="B82" t="s">
        <v>30</v>
      </c>
      <c r="C82">
        <f>INDEX(products!$A$1:$F$11,MATCH(answer!B82,answer!$B$40:$B$50,0),5)</f>
        <v>12000</v>
      </c>
    </row>
    <row r="83" spans="1:4" x14ac:dyDescent="0.35">
      <c r="B83" t="s">
        <v>33</v>
      </c>
      <c r="C83">
        <f>INDEX(products!$A$1:$F$11,MATCH(answer!B83,answer!$B$40:$B$50,0),5)</f>
        <v>16000</v>
      </c>
    </row>
    <row r="84" spans="1:4" x14ac:dyDescent="0.35">
      <c r="B84" t="s">
        <v>36</v>
      </c>
      <c r="C84">
        <f>INDEX(products!$A$1:$F$11,MATCH(answer!B84,answer!$B$40:$B$50,0),5)</f>
        <v>3500</v>
      </c>
    </row>
    <row r="87" spans="1:4" x14ac:dyDescent="0.35">
      <c r="A87">
        <v>17</v>
      </c>
      <c r="B87" s="4" t="s">
        <v>4</v>
      </c>
      <c r="C87" s="4" t="s">
        <v>94</v>
      </c>
      <c r="D87" s="4" t="s">
        <v>188</v>
      </c>
    </row>
    <row r="88" spans="1:4" x14ac:dyDescent="0.35">
      <c r="B88">
        <f>INDEX(products!$E$1:$E$11,MATCH(products!E2,products!$E$1:$E$11,0))</f>
        <v>55000</v>
      </c>
      <c r="C88">
        <f>INDEX(sales!$D$1:$D$16,MATCH(sales!D2,sales!$D$1:$D$16,0))</f>
        <v>1</v>
      </c>
      <c r="D88" s="5">
        <f>INDEX(products!$E$1:$E$11,MATCH(products!E2,products!$E$1:$E$11,0)) * INDEX(sales!$D$1:$D$16,MATCH(sales!D2,sales!$D$1:$D$16,0))</f>
        <v>55000</v>
      </c>
    </row>
    <row r="89" spans="1:4" x14ac:dyDescent="0.35">
      <c r="B89">
        <f>INDEX(products!$E$1:$E$11,MATCH(products!E3,products!$E$1:$E$11,0))</f>
        <v>32000</v>
      </c>
      <c r="C89">
        <f>INDEX(sales!$D$1:$D$16,MATCH(sales!D3,sales!$D$1:$D$16,0))</f>
        <v>3</v>
      </c>
      <c r="D89" s="5">
        <f>INDEX(products!$E$1:$E$11,MATCH(products!E3,products!$E$1:$E$11,0)) * INDEX(sales!$D$1:$D$16,MATCH(sales!D3,sales!$D$1:$D$16,0))</f>
        <v>96000</v>
      </c>
    </row>
    <row r="90" spans="1:4" x14ac:dyDescent="0.35">
      <c r="B90">
        <f>INDEX(products!$E$1:$E$11,MATCH(products!E4,products!$E$1:$E$11,0))</f>
        <v>4500</v>
      </c>
      <c r="C90">
        <f>INDEX(sales!$D$1:$D$16,MATCH(sales!D4,sales!$D$1:$D$16,0))</f>
        <v>2</v>
      </c>
      <c r="D90" s="5">
        <f>INDEX(products!$E$1:$E$11,MATCH(products!E4,products!$E$1:$E$11,0)) * INDEX(sales!$D$1:$D$16,MATCH(sales!D4,sales!$D$1:$D$16,0))</f>
        <v>9000</v>
      </c>
    </row>
    <row r="91" spans="1:4" x14ac:dyDescent="0.35">
      <c r="B91">
        <f>INDEX(products!$E$1:$E$11,MATCH(products!E5,products!$E$1:$E$11,0))</f>
        <v>1800</v>
      </c>
      <c r="C91">
        <f>INDEX(sales!$D$1:$D$16,MATCH(sales!D5,sales!$D$1:$D$16,0))</f>
        <v>1</v>
      </c>
      <c r="D91" s="5">
        <f>INDEX(products!$E$1:$E$11,MATCH(products!E5,products!$E$1:$E$11,0)) * INDEX(sales!$D$1:$D$16,MATCH(sales!D5,sales!$D$1:$D$16,0))</f>
        <v>1800</v>
      </c>
    </row>
    <row r="92" spans="1:4" x14ac:dyDescent="0.35">
      <c r="B92">
        <f>INDEX(products!$E$1:$E$11,MATCH(products!E6,products!$E$1:$E$11,0))</f>
        <v>900</v>
      </c>
      <c r="C92">
        <f>INDEX(sales!$D$1:$D$16,MATCH(sales!D6,sales!$D$1:$D$16,0))</f>
        <v>2</v>
      </c>
      <c r="D92" s="5">
        <f>INDEX(products!$E$1:$E$11,MATCH(products!E6,products!$E$1:$E$11,0)) * INDEX(sales!$D$1:$D$16,MATCH(sales!D6,sales!$D$1:$D$16,0))</f>
        <v>1800</v>
      </c>
    </row>
    <row r="93" spans="1:4" x14ac:dyDescent="0.35">
      <c r="B93">
        <f>INDEX(products!$E$1:$E$11,MATCH(products!E7,products!$E$1:$E$11,0))</f>
        <v>12500</v>
      </c>
      <c r="C93">
        <f>INDEX(sales!$D$1:$D$16,MATCH(sales!D7,sales!$D$1:$D$16,0))</f>
        <v>1</v>
      </c>
      <c r="D93" s="5">
        <f>INDEX(products!$E$1:$E$11,MATCH(products!E7,products!$E$1:$E$11,0)) * INDEX(sales!$D$1:$D$16,MATCH(sales!D7,sales!$D$1:$D$16,0))</f>
        <v>12500</v>
      </c>
    </row>
    <row r="94" spans="1:4" x14ac:dyDescent="0.35">
      <c r="B94">
        <f>INDEX(products!$E$1:$E$11,MATCH(products!E8,products!$E$1:$E$11,0))</f>
        <v>8500</v>
      </c>
      <c r="C94">
        <f>INDEX(sales!$D$1:$D$16,MATCH(sales!D8,sales!$D$1:$D$16,0))</f>
        <v>1</v>
      </c>
      <c r="D94" s="5">
        <f>INDEX(products!$E$1:$E$11,MATCH(products!E8,products!$E$1:$E$11,0)) * INDEX(sales!$D$1:$D$16,MATCH(sales!D8,sales!$D$1:$D$16,0))</f>
        <v>8500</v>
      </c>
    </row>
    <row r="95" spans="1:4" x14ac:dyDescent="0.35">
      <c r="B95">
        <f>INDEX(products!$E$1:$E$11,MATCH(products!E9,products!$E$1:$E$11,0))</f>
        <v>12000</v>
      </c>
      <c r="C95">
        <f>INDEX(sales!$D$1:$D$16,MATCH(sales!D9,sales!$D$1:$D$16,0))</f>
        <v>2</v>
      </c>
      <c r="D95" s="5">
        <f>INDEX(products!$E$1:$E$11,MATCH(products!E9,products!$E$1:$E$11,0)) * INDEX(sales!$D$1:$D$16,MATCH(sales!D9,sales!$D$1:$D$16,0))</f>
        <v>24000</v>
      </c>
    </row>
    <row r="96" spans="1:4" x14ac:dyDescent="0.35">
      <c r="B96">
        <f>INDEX(products!$E$1:$E$11,MATCH(products!E10,products!$E$1:$E$11,0))</f>
        <v>16000</v>
      </c>
      <c r="C96">
        <f>INDEX(sales!$D$1:$D$16,MATCH(sales!D10,sales!$D$1:$D$16,0))</f>
        <v>4</v>
      </c>
      <c r="D96" s="5">
        <f>INDEX(products!$E$1:$E$11,MATCH(products!E10,products!$E$1:$E$11,0)) * INDEX(sales!$D$1:$D$16,MATCH(sales!D10,sales!$D$1:$D$16,0))</f>
        <v>64000</v>
      </c>
    </row>
    <row r="97" spans="1:22" x14ac:dyDescent="0.35">
      <c r="B97">
        <f>INDEX(products!$E$1:$E$11,MATCH(products!E11,products!$E$1:$E$11,0))</f>
        <v>3500</v>
      </c>
      <c r="C97">
        <f>INDEX(sales!$D$1:$D$16,MATCH(sales!D11,sales!$D$1:$D$16,0))</f>
        <v>1</v>
      </c>
      <c r="D97" s="5">
        <f>INDEX(products!$E$1:$E$11,MATCH(products!E11,products!$E$1:$E$11,0)) * INDEX(sales!$D$1:$D$16,MATCH(sales!D11,sales!$D$1:$D$16,0))</f>
        <v>3500</v>
      </c>
    </row>
    <row r="99" spans="1:22" x14ac:dyDescent="0.35">
      <c r="A99" s="16">
        <v>18</v>
      </c>
    </row>
    <row r="100" spans="1:22" x14ac:dyDescent="0.35">
      <c r="N100">
        <v>18</v>
      </c>
      <c r="O100" s="6" t="s">
        <v>93</v>
      </c>
      <c r="P100" s="6" t="s">
        <v>1</v>
      </c>
      <c r="Q100" s="6" t="s">
        <v>2</v>
      </c>
      <c r="R100" s="6" t="s">
        <v>39</v>
      </c>
      <c r="S100" s="6" t="s">
        <v>82</v>
      </c>
      <c r="T100" s="6" t="s">
        <v>94</v>
      </c>
      <c r="U100" s="6" t="s">
        <v>4</v>
      </c>
      <c r="V100" s="6" t="s">
        <v>188</v>
      </c>
    </row>
    <row r="101" spans="1:22" x14ac:dyDescent="0.35">
      <c r="O101" s="7" t="str">
        <f>INDEX(sales!$A:$A,MATCH(sales!A2,sales!$A:$A,0))</f>
        <v>SA001</v>
      </c>
      <c r="P101" s="8" t="str">
        <f>INDEX(products!$B$1:$B$11,MATCH(products!B2,products!$B$1:$B$11,0))</f>
        <v>Laptop</v>
      </c>
      <c r="Q101" s="8" t="str">
        <f>INDEX(products!$C$1:$C$11,MATCH(products!C2,products!$C$1:$C$11,0))</f>
        <v>Electronics</v>
      </c>
      <c r="R101" s="8" t="str">
        <f>INDEX(customers!$B$1:$B$11,MATCH(customers!B2,customers!$B$1:$B$11,0))</f>
        <v>Amit Patel</v>
      </c>
      <c r="S101" s="8" t="str">
        <f>INDEX(stores!$B$1:$B$6,MATCH(stores!B2,stores!$B$1:$B$6,0))</f>
        <v>Alpha Store</v>
      </c>
      <c r="T101" s="8">
        <f>INDEX(sales!$D$1:$D$16,MATCH(sales!D2,sales!$D$1:$D$16,0))</f>
        <v>1</v>
      </c>
      <c r="U101" s="8">
        <f>INDEX(products!$E$1:$E$11,MATCH(products!E2,products!$E$1:$E$11,0))</f>
        <v>55000</v>
      </c>
      <c r="V101" s="9">
        <f>U101 *INDEX(sales!$D$1:$D$16,MATCH(sales!D2,sales!$D$1:$D$16,0))</f>
        <v>55000</v>
      </c>
    </row>
    <row r="102" spans="1:22" x14ac:dyDescent="0.35">
      <c r="O102" s="10" t="str">
        <f>INDEX(sales!$A:$A,MATCH(sales!A3,sales!$A:$A,0))</f>
        <v>SA002</v>
      </c>
      <c r="P102" s="11" t="str">
        <f>INDEX(products!$B$1:$B$11,MATCH(products!B3,products!$B$1:$B$11,0))</f>
        <v>Smartphone</v>
      </c>
      <c r="Q102" s="11" t="str">
        <f>INDEX(products!$C$1:$C$11,MATCH(products!C3,products!$C$1:$C$11,0))</f>
        <v>Electronics</v>
      </c>
      <c r="R102" s="11" t="str">
        <f>INDEX(customers!$B$1:$B$11,MATCH(customers!B3,customers!$B$1:$B$11,0))</f>
        <v>Priya Shah</v>
      </c>
      <c r="S102" s="11" t="str">
        <f>INDEX(stores!$B$1:$B$6,MATCH(stores!B3,stores!$B$1:$B$6,0))</f>
        <v>Beta Store</v>
      </c>
      <c r="T102" s="11">
        <f>INDEX(sales!$D$1:$D$16,MATCH(sales!D3,sales!$D$1:$D$16,0))</f>
        <v>3</v>
      </c>
      <c r="U102" s="11">
        <f>INDEX(products!$E$1:$E$11,MATCH(products!E3,products!$E$1:$E$11,0))</f>
        <v>32000</v>
      </c>
      <c r="V102" s="12">
        <f>U102 *INDEX(sales!$D$1:$D$16,MATCH(sales!D3,sales!$D$1:$D$16,0))</f>
        <v>96000</v>
      </c>
    </row>
    <row r="103" spans="1:22" x14ac:dyDescent="0.35">
      <c r="O103" s="10" t="str">
        <f>INDEX(sales!$A:$A,MATCH(sales!A4,sales!$A:$A,0))</f>
        <v>SA003</v>
      </c>
      <c r="P103" s="11" t="str">
        <f>INDEX(products!$B$1:$B$11,MATCH(products!B4,products!$B$1:$B$11,0))</f>
        <v>Headphones</v>
      </c>
      <c r="Q103" s="11" t="str">
        <f>INDEX(products!$C$1:$C$11,MATCH(products!C4,products!$C$1:$C$11,0))</f>
        <v>Electronics</v>
      </c>
      <c r="R103" s="11" t="str">
        <f>INDEX(customers!$B$1:$B$11,MATCH(customers!B4,customers!$B$1:$B$11,0))</f>
        <v>Rahul Mehta</v>
      </c>
      <c r="S103" s="11" t="str">
        <f>INDEX(stores!$B$1:$B$6,MATCH(stores!B4,stores!$B$1:$B$6,0))</f>
        <v>Central Store</v>
      </c>
      <c r="T103" s="11">
        <f>INDEX(sales!$D$1:$D$16,MATCH(sales!D4,sales!$D$1:$D$16,0))</f>
        <v>2</v>
      </c>
      <c r="U103" s="11">
        <f>INDEX(products!$E$1:$E$11,MATCH(products!E4,products!$E$1:$E$11,0))</f>
        <v>4500</v>
      </c>
      <c r="V103" s="12">
        <f>U103 *INDEX(sales!$D$1:$D$16,MATCH(sales!D4,sales!$D$1:$D$16,0))</f>
        <v>9000</v>
      </c>
    </row>
    <row r="104" spans="1:22" x14ac:dyDescent="0.35">
      <c r="O104" s="10" t="str">
        <f>INDEX(sales!$A:$A,MATCH(sales!A5,sales!$A:$A,0))</f>
        <v>SA004</v>
      </c>
      <c r="P104" s="11" t="str">
        <f>INDEX(products!$B$1:$B$11,MATCH(products!B5,products!$B$1:$B$11,0))</f>
        <v>Keyboard</v>
      </c>
      <c r="Q104" s="11" t="str">
        <f>INDEX(products!$C$1:$C$11,MATCH(products!C5,products!$C$1:$C$11,0))</f>
        <v>Accessories</v>
      </c>
      <c r="R104" s="11" t="str">
        <f>INDEX(customers!$B$1:$B$11,MATCH(customers!B5,customers!$B$1:$B$11,0))</f>
        <v>Sneha Joshi</v>
      </c>
      <c r="S104" s="11" t="str">
        <f>INDEX(stores!$B$1:$B$6,MATCH(stores!B5,stores!$B$1:$B$6,0))</f>
        <v>Digital Hub</v>
      </c>
      <c r="T104" s="11">
        <f>INDEX(sales!$D$1:$D$16,MATCH(sales!D5,sales!$D$1:$D$16,0))</f>
        <v>1</v>
      </c>
      <c r="U104" s="11">
        <f>INDEX(products!$E$1:$E$11,MATCH(products!E5,products!$E$1:$E$11,0))</f>
        <v>1800</v>
      </c>
      <c r="V104" s="12">
        <f>U104 *INDEX(sales!$D$1:$D$16,MATCH(sales!D5,sales!$D$1:$D$16,0))</f>
        <v>1800</v>
      </c>
    </row>
    <row r="105" spans="1:22" x14ac:dyDescent="0.35">
      <c r="O105" s="10" t="str">
        <f>INDEX(sales!$A:$A,MATCH(sales!A6,sales!$A:$A,0))</f>
        <v>SA005</v>
      </c>
      <c r="P105" s="11" t="str">
        <f>INDEX(products!$B$1:$B$11,MATCH(products!B6,products!$B$1:$B$11,0))</f>
        <v>Mouse</v>
      </c>
      <c r="Q105" s="11" t="str">
        <f>INDEX(products!$C$1:$C$11,MATCH(products!C6,products!$C$1:$C$11,0))</f>
        <v>Accessories</v>
      </c>
      <c r="R105" s="11" t="str">
        <f>INDEX(customers!$B$1:$B$11,MATCH(customers!B6,customers!$B$1:$B$11,0))</f>
        <v>Arjun Singh</v>
      </c>
      <c r="S105" s="11" t="str">
        <f>INDEX(stores!$B$1:$B$6,MATCH(stores!B6,stores!$B$1:$B$6,0))</f>
        <v>Smart World</v>
      </c>
      <c r="T105" s="11">
        <f>INDEX(sales!$D$1:$D$16,MATCH(sales!D6,sales!$D$1:$D$16,0))</f>
        <v>2</v>
      </c>
      <c r="U105" s="11">
        <f>INDEX(products!$E$1:$E$11,MATCH(products!E6,products!$E$1:$E$11,0))</f>
        <v>900</v>
      </c>
      <c r="V105" s="12">
        <f>U105 *INDEX(sales!$D$1:$D$16,MATCH(sales!D6,sales!$D$1:$D$16,0))</f>
        <v>1800</v>
      </c>
    </row>
    <row r="106" spans="1:22" x14ac:dyDescent="0.35">
      <c r="O106" s="10" t="str">
        <f>INDEX(sales!$A:$A,MATCH(sales!A7,sales!$A:$A,0))</f>
        <v>SA006</v>
      </c>
      <c r="P106" s="11" t="str">
        <f>INDEX(products!$B$1:$B$11,MATCH(products!B7,products!$B$1:$B$11,0))</f>
        <v>Printer</v>
      </c>
      <c r="Q106" s="11" t="str">
        <f>INDEX(products!$C$1:$C$11,MATCH(products!C7,products!$C$1:$C$11,0))</f>
        <v>Electronics</v>
      </c>
      <c r="R106" s="11" t="str">
        <f>INDEX(customers!$B$1:$B$11,MATCH(customers!B7,customers!$B$1:$B$11,0))</f>
        <v>Neha Verma</v>
      </c>
      <c r="S106" s="11"/>
      <c r="T106" s="11">
        <f>INDEX(sales!$D$1:$D$16,MATCH(sales!D7,sales!$D$1:$D$16,0))</f>
        <v>1</v>
      </c>
      <c r="U106" s="11">
        <f>INDEX(products!$E$1:$E$11,MATCH(products!E7,products!$E$1:$E$11,0))</f>
        <v>12500</v>
      </c>
      <c r="V106" s="12">
        <f>U106 *INDEX(sales!$D$1:$D$16,MATCH(sales!D7,sales!$D$1:$D$16,0))</f>
        <v>12500</v>
      </c>
    </row>
    <row r="107" spans="1:22" x14ac:dyDescent="0.35">
      <c r="O107" s="10" t="str">
        <f>INDEX(sales!$A:$A,MATCH(sales!A8,sales!$A:$A,0))</f>
        <v>SA007</v>
      </c>
      <c r="P107" s="11" t="str">
        <f>INDEX(products!$B$1:$B$11,MATCH(products!B8,products!$B$1:$B$11,0))</f>
        <v>Office Chair</v>
      </c>
      <c r="Q107" s="11" t="str">
        <f>INDEX(products!$C$1:$C$11,MATCH(products!C8,products!$C$1:$C$11,0))</f>
        <v>Furniture</v>
      </c>
      <c r="R107" s="11" t="str">
        <f>INDEX(customers!$B$1:$B$11,MATCH(customers!B8,customers!$B$1:$B$11,0))</f>
        <v>Rohan Gupta</v>
      </c>
      <c r="S107" s="11"/>
      <c r="T107" s="11">
        <f>INDEX(sales!$D$1:$D$16,MATCH(sales!D8,sales!$D$1:$D$16,0))</f>
        <v>1</v>
      </c>
      <c r="U107" s="11">
        <f>INDEX(products!$E$1:$E$11,MATCH(products!E8,products!$E$1:$E$11,0))</f>
        <v>8500</v>
      </c>
      <c r="V107" s="12">
        <f>U107 *INDEX(sales!$D$1:$D$16,MATCH(sales!D8,sales!$D$1:$D$16,0))</f>
        <v>8500</v>
      </c>
    </row>
    <row r="108" spans="1:22" x14ac:dyDescent="0.35">
      <c r="O108" s="10" t="str">
        <f>INDEX(sales!$A:$A,MATCH(sales!A9,sales!$A:$A,0))</f>
        <v>SA008</v>
      </c>
      <c r="P108" s="11" t="str">
        <f>INDEX(products!$B$1:$B$11,MATCH(products!B9,products!$B$1:$B$11,0))</f>
        <v>Office Desk</v>
      </c>
      <c r="Q108" s="11" t="str">
        <f>INDEX(products!$C$1:$C$11,MATCH(products!C9,products!$C$1:$C$11,0))</f>
        <v>Furniture</v>
      </c>
      <c r="R108" s="11" t="str">
        <f>INDEX(customers!$B$1:$B$11,MATCH(customers!B9,customers!$B$1:$B$11,0))</f>
        <v>Pooja Sharma</v>
      </c>
      <c r="S108" s="11"/>
      <c r="T108" s="11">
        <f>INDEX(sales!$D$1:$D$16,MATCH(sales!D9,sales!$D$1:$D$16,0))</f>
        <v>2</v>
      </c>
      <c r="U108" s="11">
        <f>INDEX(products!$E$1:$E$11,MATCH(products!E9,products!$E$1:$E$11,0))</f>
        <v>12000</v>
      </c>
      <c r="V108" s="12">
        <f>U108 *INDEX(sales!$D$1:$D$16,MATCH(sales!D9,sales!$D$1:$D$16,0))</f>
        <v>24000</v>
      </c>
    </row>
    <row r="109" spans="1:22" x14ac:dyDescent="0.35">
      <c r="O109" s="10" t="str">
        <f>INDEX(sales!$A:$A,MATCH(sales!A10,sales!$A:$A,0))</f>
        <v>SA009</v>
      </c>
      <c r="P109" s="11" t="str">
        <f>INDEX(products!$B$1:$B$11,MATCH(products!B10,products!$B$1:$B$11,0))</f>
        <v>Monitor</v>
      </c>
      <c r="Q109" s="11" t="str">
        <f>INDEX(products!$C$1:$C$11,MATCH(products!C10,products!$C$1:$C$11,0))</f>
        <v>Electronics</v>
      </c>
      <c r="R109" s="11" t="str">
        <f>INDEX(customers!$B$1:$B$11,MATCH(customers!B10,customers!$B$1:$B$11,0))</f>
        <v>Karan Desai</v>
      </c>
      <c r="S109" s="11"/>
      <c r="T109" s="11">
        <f>INDEX(sales!$D$1:$D$16,MATCH(sales!D10,sales!$D$1:$D$16,0))</f>
        <v>4</v>
      </c>
      <c r="U109" s="11">
        <f>INDEX(products!$E$1:$E$11,MATCH(products!E10,products!$E$1:$E$11,0))</f>
        <v>16000</v>
      </c>
      <c r="V109" s="12">
        <f>U109 *INDEX(sales!$D$1:$D$16,MATCH(sales!D10,sales!$D$1:$D$16,0))</f>
        <v>64000</v>
      </c>
    </row>
    <row r="110" spans="1:22" x14ac:dyDescent="0.35">
      <c r="O110" s="13" t="str">
        <f>INDEX(sales!$A:$A,MATCH(sales!A11,sales!$A:$A,0))</f>
        <v>SA010</v>
      </c>
      <c r="P110" s="14" t="str">
        <f>INDEX(products!$B$1:$B$11,MATCH(products!B11,products!$B$1:$B$11,0))</f>
        <v>Webcam</v>
      </c>
      <c r="Q110" s="14" t="str">
        <f>INDEX(products!$C$1:$C$11,MATCH(products!C11,products!$C$1:$C$11,0))</f>
        <v>Accessories</v>
      </c>
      <c r="R110" s="14" t="str">
        <f>INDEX(customers!$B$1:$B$11,MATCH(customers!B11,customers!$B$1:$B$11,0))</f>
        <v>Anjali Nair</v>
      </c>
      <c r="S110" s="14"/>
      <c r="T110" s="14">
        <f>INDEX(sales!$D$1:$D$16,MATCH(sales!D11,sales!$D$1:$D$16,0))</f>
        <v>1</v>
      </c>
      <c r="U110" s="14">
        <f>INDEX(products!$E$1:$E$11,MATCH(products!E11,products!$E$1:$E$11,0))</f>
        <v>3500</v>
      </c>
      <c r="V110" s="15">
        <f>U110 *INDEX(sales!$D$1:$D$16,MATCH(sales!D11,sales!$D$1:$D$16,0))</f>
        <v>3500</v>
      </c>
    </row>
    <row r="116" spans="1:14" x14ac:dyDescent="0.35">
      <c r="A116">
        <v>19</v>
      </c>
      <c r="C116" s="17" t="s">
        <v>0</v>
      </c>
      <c r="D116" s="17" t="s">
        <v>33</v>
      </c>
    </row>
    <row r="117" spans="1:14" x14ac:dyDescent="0.35">
      <c r="C117" s="18" t="s">
        <v>1</v>
      </c>
      <c r="D117" s="19" t="str">
        <f>INDEX(products!$A:$F,MATCH(answer!$D$116,products!$A:$A,0),MATCH(answer!C117,products!$A$1:$F$1,0))</f>
        <v>Monitor</v>
      </c>
    </row>
    <row r="118" spans="1:14" x14ac:dyDescent="0.35">
      <c r="C118" s="18" t="s">
        <v>2</v>
      </c>
      <c r="D118" s="19" t="str">
        <f>INDEX(products!$A:$F,MATCH(answer!$D$116,products!$A:$A,0),MATCH(answer!C118,products!$A$1:$F$1,0))</f>
        <v>Electronics</v>
      </c>
    </row>
    <row r="119" spans="1:14" x14ac:dyDescent="0.35">
      <c r="C119" s="18" t="s">
        <v>3</v>
      </c>
      <c r="D119" s="19" t="str">
        <f>INDEX(products!$A:$F,MATCH(answer!$D$116,products!$A:$A,0),MATCH(answer!C119,products!$A$1:$F$1,0))</f>
        <v>LG</v>
      </c>
    </row>
    <row r="120" spans="1:14" x14ac:dyDescent="0.35">
      <c r="C120" s="18" t="s">
        <v>4</v>
      </c>
      <c r="D120" s="19">
        <f>INDEX(products!$A:$F,MATCH(answer!$D$116,products!$A:$A,0),MATCH(answer!C120,products!$A$1:$F$1,0))</f>
        <v>16000</v>
      </c>
    </row>
    <row r="121" spans="1:14" x14ac:dyDescent="0.35">
      <c r="C121" s="18" t="s">
        <v>5</v>
      </c>
      <c r="D121" s="19">
        <f>INDEX(products!$A:$F,MATCH(answer!$D$116,products!$A:$A,0),MATCH(answer!C121,products!$A$1:$F$1,0))</f>
        <v>30</v>
      </c>
    </row>
    <row r="125" spans="1:14" x14ac:dyDescent="0.35">
      <c r="A125">
        <v>20</v>
      </c>
      <c r="C125" t="s">
        <v>189</v>
      </c>
      <c r="D125" t="s">
        <v>94</v>
      </c>
      <c r="E125" t="s">
        <v>95</v>
      </c>
      <c r="F125" t="s">
        <v>190</v>
      </c>
      <c r="G125" t="s">
        <v>2</v>
      </c>
      <c r="H125" t="s">
        <v>3</v>
      </c>
      <c r="I125" t="s">
        <v>187</v>
      </c>
      <c r="J125" t="s">
        <v>39</v>
      </c>
      <c r="K125" t="s">
        <v>191</v>
      </c>
      <c r="L125" t="s">
        <v>82</v>
      </c>
      <c r="M125" t="s">
        <v>192</v>
      </c>
      <c r="N125" t="s">
        <v>193</v>
      </c>
    </row>
    <row r="127" spans="1:14" x14ac:dyDescent="0.35">
      <c r="B127" t="s">
        <v>194</v>
      </c>
      <c r="C127" s="17" t="s">
        <v>99</v>
      </c>
      <c r="D127">
        <f>INDEX(sales!D:D, MATCH($C$127, sales!A:A, 0))</f>
        <v>1</v>
      </c>
      <c r="E127" s="20">
        <f>INDEX(sales!E:E, MATCH($C$127, sales!A:A, 0))</f>
        <v>46026</v>
      </c>
      <c r="F127" t="str">
        <f>INDEX(products!B:B,MATCH(INDEX(sales!B:B,MATCH(answer!$C$127,sales!A:A,0)),products!A:A,0))</f>
        <v>Monitor</v>
      </c>
      <c r="G127" t="str">
        <f>INDEX(products!C:C,MATCH(INDEX(sales!B:B,MATCH(answer!$C$127,sales!A:A,0)),products!A:A,0))</f>
        <v>Electronics</v>
      </c>
      <c r="H127" t="str">
        <f>INDEX(products!D:D,MATCH(INDEX(sales!B:B,MATCH(answer!$C$127,sales!A:A,0)),products!A:A,0))</f>
        <v>LG</v>
      </c>
      <c r="I127">
        <f>INDEX(products!E:E,MATCH(INDEX(sales!B:B,MATCH(answer!$C$127,sales!A:A,0)),products!A:A,0))</f>
        <v>16000</v>
      </c>
      <c r="J127" t="str">
        <f>INDEX(customers!B:B,MATCH(INDEX(sales!C:C,MATCH($C$127,sales!A:A,0)),customers!A:A,0))</f>
        <v>Sneha Joshi</v>
      </c>
      <c r="K127" t="str">
        <f>INDEX(customers!$A$1:$E$11,MATCH(INDEX(sales!C:C,MATCH(answer!$C$127,sales!A:A,0)),customers!A:A,0),MATCH(customers!$C$1,customers!$A$1:$E$1,0))</f>
        <v>Pune</v>
      </c>
      <c r="L127" t="str">
        <f>INDEX(stores!B:B,MATCH(INDEX(sales!F:F,MATCH(answer!$C$127,sales!A:A,0)),stores!A:A,0))</f>
        <v>Digital Hub</v>
      </c>
      <c r="M127" t="str">
        <f>INDEX(stores!C:C,MATCH(INDEX(sales!F:F,MATCH(answer!$C$127,sales!A:A,0)),stores!A:A,0))</f>
        <v>Pune</v>
      </c>
      <c r="N127">
        <f>INDEX(products!E:E,MATCH(INDEX(sales!B:B,MATCH(answer!$C$127,sales!A:A,0)),products!A:A,0)) * INDEX(products!F:F,MATCH(INDEX(sales!B:B,MATCH(answer!$C$127,sales!A:A,0)),products!A:A,0))</f>
        <v>480000</v>
      </c>
    </row>
    <row r="128" spans="1:14" x14ac:dyDescent="0.35">
      <c r="B128" t="s">
        <v>195</v>
      </c>
      <c r="D128">
        <f>_xlfn.XLOOKUP(C127,sales!A:A,sales!D:D)</f>
        <v>1</v>
      </c>
      <c r="E128" s="20">
        <f>_xlfn.XLOOKUP(C127,sales!A:A,sales!E:E)</f>
        <v>46026</v>
      </c>
      <c r="F128" t="str">
        <f>_xlfn.XLOOKUP(_xlfn.XLOOKUP($C$127,sales!A:A,sales!B:B),products!A:A,products!B:B)</f>
        <v>Monitor</v>
      </c>
      <c r="G128" t="str">
        <f>_xlfn.XLOOKUP(_xlfn.XLOOKUP(answer!$C$127,sales!A:A,sales!B:B),products!A:A,products!C:C)</f>
        <v>Electronics</v>
      </c>
      <c r="H128" t="str">
        <f>_xlfn.XLOOKUP(_xlfn.XLOOKUP($C$127,sales!A:A,sales!B:B),products!A:A,products!D:D)</f>
        <v>LG</v>
      </c>
      <c r="I128">
        <f>_xlfn.XLOOKUP(_xlfn.XLOOKUP($C$127,sales!A:A,sales!B:B),products!A:A,products!E:E)</f>
        <v>16000</v>
      </c>
      <c r="J128" t="str">
        <f>_xlfn.XLOOKUP(_xlfn.XLOOKUP($C$127,sales!A:A,sales!C:C),customers!A:A,customers!B:B)</f>
        <v>Sneha Joshi</v>
      </c>
      <c r="K128" t="str">
        <f>_xlfn.XLOOKUP(_xlfn.XLOOKUP($C$127,sales!A:A,sales!C:C),customers!A:A,customers!C:C)</f>
        <v>Pune</v>
      </c>
      <c r="L128" t="str">
        <f>_xlfn.XLOOKUP(_xlfn.XLOOKUP($C$127,sales!A:A,sales!F:F),stores!A:A,stores!B:B)</f>
        <v>Digital Hub</v>
      </c>
      <c r="M128" t="str">
        <f>_xlfn.XLOOKUP(_xlfn.XLOOKUP($C$127,sales!A:A,sales!F:F),stores!A:A,stores!C:C)</f>
        <v>Pune</v>
      </c>
      <c r="N128">
        <f>_xlfn.XLOOKUP(_xlfn.XLOOKUP($C$127,sales!A:A,sales!B:B),products!A:A,products!E:E)* _xlfn.XLOOKUP(_xlfn.XLOOKUP($C$127,sales!A:A,sales!B:B),products!A:A,products!F:F)</f>
        <v>480000</v>
      </c>
    </row>
    <row r="137" spans="3:11" ht="15" thickBot="1" x14ac:dyDescent="0.4">
      <c r="K137" s="21"/>
    </row>
    <row r="138" spans="3:11" x14ac:dyDescent="0.35">
      <c r="C138" s="29" t="s">
        <v>196</v>
      </c>
      <c r="D138" s="30"/>
      <c r="E138" s="30"/>
      <c r="F138" s="30"/>
      <c r="G138" s="22" t="s">
        <v>197</v>
      </c>
      <c r="H138" s="22"/>
      <c r="I138" s="23"/>
    </row>
    <row r="139" spans="3:11" ht="14.5" customHeight="1" x14ac:dyDescent="0.35">
      <c r="C139" s="31"/>
      <c r="D139" s="32"/>
      <c r="E139" s="32"/>
      <c r="F139" s="32"/>
      <c r="G139" s="24" t="s">
        <v>100</v>
      </c>
      <c r="H139" s="24"/>
      <c r="I139" s="25"/>
    </row>
    <row r="140" spans="3:11" ht="14.5" customHeight="1" x14ac:dyDescent="0.35">
      <c r="C140" s="31"/>
      <c r="D140" s="32"/>
      <c r="E140" s="32"/>
      <c r="F140" s="32"/>
      <c r="G140" s="24"/>
      <c r="H140" s="24"/>
      <c r="I140" s="25"/>
    </row>
    <row r="141" spans="3:11" x14ac:dyDescent="0.35">
      <c r="C141" s="26" t="str">
        <f>"Date : " &amp; TEXT(INDEX(sales!E:E, MATCH($G$139, sales!A:A, 0)), "dd-mm-yyyy")</f>
        <v>Date : 05-01-2026</v>
      </c>
      <c r="D141" s="27"/>
      <c r="E141" s="27"/>
      <c r="F141" s="27"/>
      <c r="G141" s="27"/>
      <c r="H141" s="27"/>
      <c r="I141" s="28"/>
    </row>
    <row r="142" spans="3:11" x14ac:dyDescent="0.35">
      <c r="C142" s="26"/>
      <c r="D142" s="27"/>
      <c r="E142" s="27"/>
      <c r="F142" s="27"/>
      <c r="G142" s="27"/>
      <c r="H142" s="27"/>
      <c r="I142" s="28"/>
    </row>
    <row r="143" spans="3:11" x14ac:dyDescent="0.35">
      <c r="C143" s="33" t="s">
        <v>198</v>
      </c>
      <c r="D143" s="34"/>
      <c r="E143" s="34" t="s">
        <v>199</v>
      </c>
      <c r="F143" s="34"/>
      <c r="G143" s="34" t="s">
        <v>200</v>
      </c>
      <c r="H143" s="34"/>
      <c r="I143" s="35"/>
    </row>
    <row r="144" spans="3:11" x14ac:dyDescent="0.35">
      <c r="C144" s="33"/>
      <c r="D144" s="34"/>
      <c r="E144" s="34"/>
      <c r="F144" s="34"/>
      <c r="G144" s="34"/>
      <c r="H144" s="34"/>
      <c r="I144" s="35"/>
    </row>
    <row r="145" spans="3:9" x14ac:dyDescent="0.35">
      <c r="C145" s="36" t="str">
        <f>INDEX(customers!B:B,MATCH(INDEX(sales!C:C,MATCH($G$139,sales!A:A,0)),customers!A:A,0))</f>
        <v>Arjun Singh</v>
      </c>
      <c r="D145" s="37"/>
      <c r="E145" s="37" t="str">
        <f>INDEX(products!B:B,MATCH(INDEX(sales!B:B,MATCH($G$139,sales!A:A,0)),products!A:A,0)) &amp; " - " &amp; INDEX(products!D:D,MATCH(INDEX(sales!B:B,MATCH($G$139,sales!A:A,0)),products!A:A,0))</f>
        <v>Smartphone - Samsung</v>
      </c>
      <c r="F145" s="37"/>
      <c r="G145" s="37" t="str">
        <f>INDEX(stores!B:B,MATCH(INDEX(sales!F:F,MATCH($G$139,sales!A:A,0)),stores!A:A,0))</f>
        <v>Smart World</v>
      </c>
      <c r="H145" s="37"/>
      <c r="I145" s="38"/>
    </row>
    <row r="146" spans="3:9" x14ac:dyDescent="0.35">
      <c r="C146" s="36"/>
      <c r="D146" s="37"/>
      <c r="E146" s="37"/>
      <c r="F146" s="37"/>
      <c r="G146" s="37"/>
      <c r="H146" s="37"/>
      <c r="I146" s="38"/>
    </row>
    <row r="147" spans="3:9" ht="28.5" customHeight="1" x14ac:dyDescent="0.35">
      <c r="C147" s="39" t="str">
        <f xml:space="preserve"> "City : " &amp; INDEX(customers!$A$1:$E$11,MATCH(INDEX(sales!C:C,MATCH($G$139,sales!A:A,0)),customers!A:A,0),MATCH(customers!$C$1,customers!$A$1:$E$1,0))</f>
        <v>City : Jaipur</v>
      </c>
      <c r="D147" s="40"/>
      <c r="E147" s="40" t="str">
        <f>"Category : "&amp;INDEX(products!C:C,MATCH(INDEX(sales!B:B,MATCH($G$139,sales!A:A,0)),products!A:A,0))</f>
        <v>Category : Electronics</v>
      </c>
      <c r="F147" s="40"/>
      <c r="G147" s="40" t="str">
        <f>"City : "&amp;INDEX(stores!C:C,MATCH(INDEX(sales!F:F,MATCH($G$139,sales!A:A,0)),stores!A:A,0))</f>
        <v>City : Jaipur</v>
      </c>
      <c r="H147" s="40"/>
      <c r="I147" s="41"/>
    </row>
    <row r="148" spans="3:9" ht="24.5" customHeight="1" x14ac:dyDescent="0.35">
      <c r="C148" s="42" t="s">
        <v>94</v>
      </c>
      <c r="D148" s="43"/>
      <c r="E148" s="43" t="s">
        <v>201</v>
      </c>
      <c r="F148" s="43"/>
      <c r="G148" s="43" t="s">
        <v>193</v>
      </c>
      <c r="H148" s="43"/>
      <c r="I148" s="44"/>
    </row>
    <row r="149" spans="3:9" x14ac:dyDescent="0.35">
      <c r="C149" s="42"/>
      <c r="D149" s="43"/>
      <c r="E149" s="43"/>
      <c r="F149" s="43"/>
      <c r="G149" s="43"/>
      <c r="H149" s="43"/>
      <c r="I149" s="44"/>
    </row>
    <row r="150" spans="3:9" ht="32.5" customHeight="1" thickBot="1" x14ac:dyDescent="0.4">
      <c r="C150" s="45">
        <f>INDEX(sales!D:D, MATCH($G$139, sales!A:A, 0))</f>
        <v>2</v>
      </c>
      <c r="D150" s="46"/>
      <c r="E150" s="46">
        <f>INDEX(products!E:E,MATCH(INDEX(sales!B:B,MATCH($G$139,sales!A:A,0)),products!A:A,0))</f>
        <v>32000</v>
      </c>
      <c r="F150" s="46"/>
      <c r="G150" s="46">
        <f>C150*E150</f>
        <v>64000</v>
      </c>
      <c r="H150" s="46"/>
      <c r="I150" s="47"/>
    </row>
    <row r="151" spans="3:9" x14ac:dyDescent="0.35">
      <c r="C151" s="21"/>
      <c r="D151" s="21"/>
    </row>
  </sheetData>
  <mergeCells count="19">
    <mergeCell ref="G138:I138"/>
    <mergeCell ref="G139:I140"/>
    <mergeCell ref="C143:D144"/>
    <mergeCell ref="E143:F144"/>
    <mergeCell ref="C141:I142"/>
    <mergeCell ref="G143:I144"/>
    <mergeCell ref="C138:F140"/>
    <mergeCell ref="C145:D146"/>
    <mergeCell ref="E145:F146"/>
    <mergeCell ref="C147:D147"/>
    <mergeCell ref="E147:F147"/>
    <mergeCell ref="G145:I146"/>
    <mergeCell ref="G147:I147"/>
    <mergeCell ref="C148:D149"/>
    <mergeCell ref="C150:D150"/>
    <mergeCell ref="E148:F149"/>
    <mergeCell ref="E150:F150"/>
    <mergeCell ref="G148:I149"/>
    <mergeCell ref="G150:I150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CD8BBD-4DE6-42A1-8878-D62C0A168DE4}">
          <x14:formula1>
            <xm:f>products!$A$2:$A$11</xm:f>
          </x14:formula1>
          <xm:sqref>B4 B8 B11 B14 B17 D116</xm:sqref>
        </x14:dataValidation>
        <x14:dataValidation type="list" allowBlank="1" showInputMessage="1" showErrorMessage="1" xr:uid="{FB953713-E712-4CFD-A41C-FEAFFBBEE241}">
          <x14:formula1>
            <xm:f>customers!$A$2:$A$11</xm:f>
          </x14:formula1>
          <xm:sqref>B20 B23 B26 B29</xm:sqref>
        </x14:dataValidation>
        <x14:dataValidation type="list" allowBlank="1" showInputMessage="1" showErrorMessage="1" xr:uid="{9B32BB77-8233-42BC-87D4-0C103516D00C}">
          <x14:formula1>
            <xm:f>stores!$A$2:$A$6</xm:f>
          </x14:formula1>
          <xm:sqref>B32 B35 B38</xm:sqref>
        </x14:dataValidation>
        <x14:dataValidation type="list" allowBlank="1" showInputMessage="1" showErrorMessage="1" xr:uid="{8364CC70-3F9F-42F4-8B1B-1B852A00DA84}">
          <x14:formula1>
            <xm:f>sales!$A$2:$A$11</xm:f>
          </x14:formula1>
          <xm:sqref>C127 G139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CCB9-3CA8-465E-99C5-DA9A6A178693}">
  <sheetPr>
    <tabColor rgb="FFFFC000"/>
  </sheetPr>
  <dimension ref="A1:A121"/>
  <sheetViews>
    <sheetView showGridLines="0" topLeftCell="A101" workbookViewId="0">
      <selection activeCell="C106" sqref="C106"/>
    </sheetView>
  </sheetViews>
  <sheetFormatPr defaultRowHeight="14.5" x14ac:dyDescent="0.35"/>
  <sheetData>
    <row r="1" spans="1:1" x14ac:dyDescent="0.35">
      <c r="A1" s="2" t="s">
        <v>111</v>
      </c>
    </row>
    <row r="2" spans="1:1" x14ac:dyDescent="0.35">
      <c r="A2" s="1"/>
    </row>
    <row r="3" spans="1:1" x14ac:dyDescent="0.35">
      <c r="A3" s="2" t="s">
        <v>112</v>
      </c>
    </row>
    <row r="4" spans="1:1" x14ac:dyDescent="0.35">
      <c r="A4" s="1"/>
    </row>
    <row r="5" spans="1:1" x14ac:dyDescent="0.35">
      <c r="A5" s="2" t="s">
        <v>113</v>
      </c>
    </row>
    <row r="6" spans="1:1" x14ac:dyDescent="0.35">
      <c r="A6" s="1"/>
    </row>
    <row r="7" spans="1:1" x14ac:dyDescent="0.35">
      <c r="A7" s="2" t="s">
        <v>114</v>
      </c>
    </row>
    <row r="8" spans="1:1" x14ac:dyDescent="0.35">
      <c r="A8" s="1"/>
    </row>
    <row r="9" spans="1:1" x14ac:dyDescent="0.35">
      <c r="A9" s="2" t="s">
        <v>115</v>
      </c>
    </row>
    <row r="10" spans="1:1" x14ac:dyDescent="0.35">
      <c r="A10" s="1"/>
    </row>
    <row r="11" spans="1:1" x14ac:dyDescent="0.35">
      <c r="A11" s="2" t="s">
        <v>116</v>
      </c>
    </row>
    <row r="12" spans="1:1" x14ac:dyDescent="0.35">
      <c r="A12" s="1"/>
    </row>
    <row r="13" spans="1:1" x14ac:dyDescent="0.35">
      <c r="A13" s="2" t="s">
        <v>117</v>
      </c>
    </row>
    <row r="14" spans="1:1" x14ac:dyDescent="0.35">
      <c r="A14" s="1"/>
    </row>
    <row r="15" spans="1:1" x14ac:dyDescent="0.35">
      <c r="A15" s="2" t="s">
        <v>118</v>
      </c>
    </row>
    <row r="16" spans="1:1" x14ac:dyDescent="0.35">
      <c r="A16" s="1"/>
    </row>
    <row r="17" spans="1:1" x14ac:dyDescent="0.35">
      <c r="A17" s="2" t="s">
        <v>119</v>
      </c>
    </row>
    <row r="18" spans="1:1" x14ac:dyDescent="0.35">
      <c r="A18" s="1"/>
    </row>
    <row r="19" spans="1:1" x14ac:dyDescent="0.35">
      <c r="A19" s="2" t="s">
        <v>120</v>
      </c>
    </row>
    <row r="20" spans="1:1" x14ac:dyDescent="0.35">
      <c r="A20" s="1"/>
    </row>
    <row r="21" spans="1:1" x14ac:dyDescent="0.35">
      <c r="A21" s="2" t="s">
        <v>121</v>
      </c>
    </row>
    <row r="22" spans="1:1" x14ac:dyDescent="0.35">
      <c r="A22" s="1"/>
    </row>
    <row r="23" spans="1:1" x14ac:dyDescent="0.35">
      <c r="A23" s="2" t="s">
        <v>122</v>
      </c>
    </row>
    <row r="24" spans="1:1" x14ac:dyDescent="0.35">
      <c r="A24" s="1"/>
    </row>
    <row r="25" spans="1:1" x14ac:dyDescent="0.35">
      <c r="A25" s="2" t="s">
        <v>123</v>
      </c>
    </row>
    <row r="26" spans="1:1" x14ac:dyDescent="0.35">
      <c r="A26" s="1"/>
    </row>
    <row r="27" spans="1:1" x14ac:dyDescent="0.35">
      <c r="A27" s="2" t="s">
        <v>124</v>
      </c>
    </row>
    <row r="28" spans="1:1" x14ac:dyDescent="0.35">
      <c r="A28" s="1"/>
    </row>
    <row r="29" spans="1:1" x14ac:dyDescent="0.35">
      <c r="A29" s="2" t="s">
        <v>125</v>
      </c>
    </row>
    <row r="30" spans="1:1" x14ac:dyDescent="0.35">
      <c r="A30" s="1"/>
    </row>
    <row r="31" spans="1:1" x14ac:dyDescent="0.35">
      <c r="A31" s="2" t="s">
        <v>126</v>
      </c>
    </row>
    <row r="32" spans="1:1" x14ac:dyDescent="0.35">
      <c r="A32" s="1"/>
    </row>
    <row r="33" spans="1:1" x14ac:dyDescent="0.35">
      <c r="A33" s="2" t="s">
        <v>127</v>
      </c>
    </row>
    <row r="34" spans="1:1" x14ac:dyDescent="0.35">
      <c r="A34" s="1"/>
    </row>
    <row r="35" spans="1:1" x14ac:dyDescent="0.35">
      <c r="A35" s="2" t="s">
        <v>128</v>
      </c>
    </row>
    <row r="36" spans="1:1" x14ac:dyDescent="0.35">
      <c r="A36" s="1"/>
    </row>
    <row r="37" spans="1:1" x14ac:dyDescent="0.35">
      <c r="A37" s="2" t="s">
        <v>129</v>
      </c>
    </row>
    <row r="38" spans="1:1" x14ac:dyDescent="0.35">
      <c r="A38" s="1"/>
    </row>
    <row r="39" spans="1:1" x14ac:dyDescent="0.35">
      <c r="A39" s="2" t="s">
        <v>130</v>
      </c>
    </row>
    <row r="40" spans="1:1" x14ac:dyDescent="0.35">
      <c r="A40" s="1"/>
    </row>
    <row r="41" spans="1:1" x14ac:dyDescent="0.35">
      <c r="A41" s="2" t="s">
        <v>131</v>
      </c>
    </row>
    <row r="42" spans="1:1" x14ac:dyDescent="0.35">
      <c r="A42" s="1"/>
    </row>
    <row r="43" spans="1:1" x14ac:dyDescent="0.35">
      <c r="A43" s="2" t="s">
        <v>132</v>
      </c>
    </row>
    <row r="44" spans="1:1" x14ac:dyDescent="0.35">
      <c r="A44" s="1"/>
    </row>
    <row r="45" spans="1:1" x14ac:dyDescent="0.35">
      <c r="A45" s="2" t="s">
        <v>133</v>
      </c>
    </row>
    <row r="46" spans="1:1" x14ac:dyDescent="0.35">
      <c r="A46" s="1"/>
    </row>
    <row r="47" spans="1:1" x14ac:dyDescent="0.35">
      <c r="A47" s="2" t="s">
        <v>134</v>
      </c>
    </row>
    <row r="48" spans="1:1" x14ac:dyDescent="0.35">
      <c r="A48" s="1"/>
    </row>
    <row r="49" spans="1:1" x14ac:dyDescent="0.35">
      <c r="A49" s="2" t="s">
        <v>135</v>
      </c>
    </row>
    <row r="50" spans="1:1" x14ac:dyDescent="0.35">
      <c r="A50" s="1"/>
    </row>
    <row r="51" spans="1:1" x14ac:dyDescent="0.35">
      <c r="A51" s="2" t="s">
        <v>136</v>
      </c>
    </row>
    <row r="52" spans="1:1" x14ac:dyDescent="0.35">
      <c r="A52" s="1"/>
    </row>
    <row r="53" spans="1:1" x14ac:dyDescent="0.35">
      <c r="A53" s="2" t="s">
        <v>137</v>
      </c>
    </row>
    <row r="54" spans="1:1" x14ac:dyDescent="0.35">
      <c r="A54" s="1"/>
    </row>
    <row r="55" spans="1:1" x14ac:dyDescent="0.35">
      <c r="A55" s="2" t="s">
        <v>138</v>
      </c>
    </row>
    <row r="56" spans="1:1" x14ac:dyDescent="0.35">
      <c r="A56" s="1"/>
    </row>
    <row r="57" spans="1:1" x14ac:dyDescent="0.35">
      <c r="A57" s="2" t="s">
        <v>139</v>
      </c>
    </row>
    <row r="58" spans="1:1" x14ac:dyDescent="0.35">
      <c r="A58" s="1"/>
    </row>
    <row r="59" spans="1:1" x14ac:dyDescent="0.35">
      <c r="A59" s="2" t="s">
        <v>140</v>
      </c>
    </row>
    <row r="60" spans="1:1" x14ac:dyDescent="0.35">
      <c r="A60" s="1"/>
    </row>
    <row r="61" spans="1:1" x14ac:dyDescent="0.35">
      <c r="A61" s="2" t="s">
        <v>141</v>
      </c>
    </row>
    <row r="62" spans="1:1" x14ac:dyDescent="0.35">
      <c r="A62" s="1"/>
    </row>
    <row r="63" spans="1:1" x14ac:dyDescent="0.35">
      <c r="A63" s="2" t="s">
        <v>142</v>
      </c>
    </row>
    <row r="64" spans="1:1" x14ac:dyDescent="0.35">
      <c r="A64" s="1"/>
    </row>
    <row r="65" spans="1:1" x14ac:dyDescent="0.35">
      <c r="A65" s="2" t="s">
        <v>143</v>
      </c>
    </row>
    <row r="66" spans="1:1" x14ac:dyDescent="0.35">
      <c r="A66" s="1"/>
    </row>
    <row r="67" spans="1:1" x14ac:dyDescent="0.35">
      <c r="A67" s="2" t="s">
        <v>144</v>
      </c>
    </row>
    <row r="68" spans="1:1" x14ac:dyDescent="0.35">
      <c r="A68" s="1"/>
    </row>
    <row r="69" spans="1:1" x14ac:dyDescent="0.35">
      <c r="A69" s="2" t="s">
        <v>145</v>
      </c>
    </row>
    <row r="70" spans="1:1" x14ac:dyDescent="0.35">
      <c r="A70" s="1"/>
    </row>
    <row r="71" spans="1:1" x14ac:dyDescent="0.35">
      <c r="A71" s="2" t="s">
        <v>146</v>
      </c>
    </row>
    <row r="72" spans="1:1" x14ac:dyDescent="0.35">
      <c r="A72" s="1"/>
    </row>
    <row r="73" spans="1:1" x14ac:dyDescent="0.35">
      <c r="A73" s="2" t="s">
        <v>147</v>
      </c>
    </row>
    <row r="74" spans="1:1" x14ac:dyDescent="0.35">
      <c r="A74" s="1"/>
    </row>
    <row r="75" spans="1:1" x14ac:dyDescent="0.35">
      <c r="A75" s="2" t="s">
        <v>148</v>
      </c>
    </row>
    <row r="76" spans="1:1" x14ac:dyDescent="0.35">
      <c r="A76" s="1"/>
    </row>
    <row r="77" spans="1:1" x14ac:dyDescent="0.35">
      <c r="A77" s="2" t="s">
        <v>149</v>
      </c>
    </row>
    <row r="78" spans="1:1" x14ac:dyDescent="0.35">
      <c r="A78" s="1"/>
    </row>
    <row r="79" spans="1:1" x14ac:dyDescent="0.35">
      <c r="A79" s="2" t="s">
        <v>150</v>
      </c>
    </row>
    <row r="80" spans="1:1" x14ac:dyDescent="0.35">
      <c r="A80" s="1"/>
    </row>
    <row r="81" spans="1:1" x14ac:dyDescent="0.35">
      <c r="A81" s="2" t="s">
        <v>151</v>
      </c>
    </row>
    <row r="82" spans="1:1" x14ac:dyDescent="0.35">
      <c r="A82" s="2" t="s">
        <v>152</v>
      </c>
    </row>
    <row r="83" spans="1:1" x14ac:dyDescent="0.35">
      <c r="A83" s="2" t="s">
        <v>153</v>
      </c>
    </row>
    <row r="84" spans="1:1" x14ac:dyDescent="0.35">
      <c r="A84" s="1"/>
    </row>
    <row r="85" spans="1:1" x14ac:dyDescent="0.35">
      <c r="A85" s="2" t="s">
        <v>154</v>
      </c>
    </row>
    <row r="86" spans="1:1" x14ac:dyDescent="0.35">
      <c r="A86" s="1"/>
    </row>
    <row r="87" spans="1:1" x14ac:dyDescent="0.35">
      <c r="A87" s="2" t="s">
        <v>155</v>
      </c>
    </row>
    <row r="88" spans="1:1" x14ac:dyDescent="0.35">
      <c r="A88" s="1"/>
    </row>
    <row r="89" spans="1:1" x14ac:dyDescent="0.35">
      <c r="A89" s="2" t="s">
        <v>156</v>
      </c>
    </row>
    <row r="90" spans="1:1" x14ac:dyDescent="0.35">
      <c r="A90" s="1"/>
    </row>
    <row r="91" spans="1:1" x14ac:dyDescent="0.35">
      <c r="A91" s="2" t="s">
        <v>157</v>
      </c>
    </row>
    <row r="92" spans="1:1" x14ac:dyDescent="0.35">
      <c r="A92" s="1"/>
    </row>
    <row r="93" spans="1:1" x14ac:dyDescent="0.35">
      <c r="A93" s="2" t="s">
        <v>158</v>
      </c>
    </row>
    <row r="94" spans="1:1" x14ac:dyDescent="0.35">
      <c r="A94" s="2" t="s">
        <v>159</v>
      </c>
    </row>
    <row r="95" spans="1:1" x14ac:dyDescent="0.35">
      <c r="A95" s="2" t="s">
        <v>160</v>
      </c>
    </row>
    <row r="96" spans="1:1" x14ac:dyDescent="0.35">
      <c r="A96" s="2" t="s">
        <v>161</v>
      </c>
    </row>
    <row r="97" spans="1:1" x14ac:dyDescent="0.35">
      <c r="A97" s="2" t="s">
        <v>162</v>
      </c>
    </row>
    <row r="98" spans="1:1" x14ac:dyDescent="0.35">
      <c r="A98" s="2" t="s">
        <v>163</v>
      </c>
    </row>
    <row r="99" spans="1:1" x14ac:dyDescent="0.35">
      <c r="A99" s="2" t="s">
        <v>164</v>
      </c>
    </row>
    <row r="100" spans="1:1" x14ac:dyDescent="0.35">
      <c r="A100" s="2" t="s">
        <v>165</v>
      </c>
    </row>
    <row r="101" spans="1:1" x14ac:dyDescent="0.35">
      <c r="A101" s="1"/>
    </row>
    <row r="102" spans="1:1" x14ac:dyDescent="0.35">
      <c r="A102" s="2" t="s">
        <v>166</v>
      </c>
    </row>
    <row r="103" spans="1:1" x14ac:dyDescent="0.35">
      <c r="A103" s="1"/>
    </row>
    <row r="104" spans="1:1" x14ac:dyDescent="0.35">
      <c r="A104" s="2" t="s">
        <v>167</v>
      </c>
    </row>
    <row r="105" spans="1:1" x14ac:dyDescent="0.35">
      <c r="A105" s="1"/>
    </row>
    <row r="106" spans="1:1" x14ac:dyDescent="0.35">
      <c r="A106" s="2" t="s">
        <v>168</v>
      </c>
    </row>
    <row r="107" spans="1:1" x14ac:dyDescent="0.35">
      <c r="A107" s="1"/>
    </row>
    <row r="108" spans="1:1" x14ac:dyDescent="0.35">
      <c r="A108" s="2" t="s">
        <v>169</v>
      </c>
    </row>
    <row r="109" spans="1:1" x14ac:dyDescent="0.35">
      <c r="A109" s="1"/>
    </row>
    <row r="110" spans="1:1" x14ac:dyDescent="0.35">
      <c r="A110" s="2" t="s">
        <v>170</v>
      </c>
    </row>
    <row r="111" spans="1:1" x14ac:dyDescent="0.35">
      <c r="A111" s="1"/>
    </row>
    <row r="112" spans="1:1" x14ac:dyDescent="0.35">
      <c r="A112" s="2" t="s">
        <v>171</v>
      </c>
    </row>
    <row r="113" spans="1:1" x14ac:dyDescent="0.35">
      <c r="A113" s="1"/>
    </row>
    <row r="114" spans="1:1" x14ac:dyDescent="0.35">
      <c r="A114" s="2" t="s">
        <v>172</v>
      </c>
    </row>
    <row r="115" spans="1:1" x14ac:dyDescent="0.35">
      <c r="A115" s="1"/>
    </row>
    <row r="116" spans="1:1" x14ac:dyDescent="0.35">
      <c r="A116" s="2" t="s">
        <v>173</v>
      </c>
    </row>
    <row r="117" spans="1:1" x14ac:dyDescent="0.35">
      <c r="A117" s="2" t="s">
        <v>174</v>
      </c>
    </row>
    <row r="118" spans="1:1" x14ac:dyDescent="0.35">
      <c r="A118" s="2" t="s">
        <v>175</v>
      </c>
    </row>
    <row r="119" spans="1:1" x14ac:dyDescent="0.35">
      <c r="A119" s="1"/>
    </row>
    <row r="120" spans="1:1" x14ac:dyDescent="0.35">
      <c r="A120" s="2" t="s">
        <v>176</v>
      </c>
    </row>
    <row r="121" spans="1:1" x14ac:dyDescent="0.35">
      <c r="A1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093E-32C4-4C94-99A9-D1134F0F375F}">
  <dimension ref="A1:F16"/>
  <sheetViews>
    <sheetView workbookViewId="0">
      <selection activeCell="A10" sqref="A10"/>
    </sheetView>
  </sheetViews>
  <sheetFormatPr defaultRowHeight="14.5" x14ac:dyDescent="0.35"/>
  <cols>
    <col min="1" max="1" width="6.453125" bestFit="1" customWidth="1"/>
    <col min="2" max="2" width="9.54296875" bestFit="1" customWidth="1"/>
    <col min="3" max="3" width="11.1796875" bestFit="1" customWidth="1"/>
    <col min="4" max="4" width="8" bestFit="1" customWidth="1"/>
    <col min="5" max="5" width="8.81640625" bestFit="1" customWidth="1"/>
    <col min="6" max="6" width="7.453125" bestFit="1" customWidth="1"/>
  </cols>
  <sheetData>
    <row r="1" spans="1:6" x14ac:dyDescent="0.35">
      <c r="A1" t="s">
        <v>93</v>
      </c>
      <c r="B1" t="s">
        <v>0</v>
      </c>
      <c r="C1" t="s">
        <v>38</v>
      </c>
      <c r="D1" t="s">
        <v>94</v>
      </c>
      <c r="E1" t="s">
        <v>95</v>
      </c>
      <c r="F1" t="s">
        <v>81</v>
      </c>
    </row>
    <row r="2" spans="1:6" x14ac:dyDescent="0.35">
      <c r="A2" t="s">
        <v>96</v>
      </c>
      <c r="B2" t="s">
        <v>6</v>
      </c>
      <c r="C2" t="s">
        <v>43</v>
      </c>
      <c r="D2">
        <v>1</v>
      </c>
      <c r="E2" s="3">
        <v>46023</v>
      </c>
      <c r="F2" t="s">
        <v>83</v>
      </c>
    </row>
    <row r="3" spans="1:6" x14ac:dyDescent="0.35">
      <c r="A3" t="s">
        <v>97</v>
      </c>
      <c r="B3" t="s">
        <v>20</v>
      </c>
      <c r="C3" t="s">
        <v>48</v>
      </c>
      <c r="D3">
        <v>3</v>
      </c>
      <c r="E3" s="3">
        <v>46024</v>
      </c>
      <c r="F3" t="s">
        <v>85</v>
      </c>
    </row>
    <row r="4" spans="1:6" x14ac:dyDescent="0.35">
      <c r="A4" t="s">
        <v>98</v>
      </c>
      <c r="B4" t="s">
        <v>13</v>
      </c>
      <c r="C4" t="s">
        <v>52</v>
      </c>
      <c r="D4">
        <v>2</v>
      </c>
      <c r="E4" s="3">
        <v>46025</v>
      </c>
      <c r="F4" t="s">
        <v>87</v>
      </c>
    </row>
    <row r="5" spans="1:6" x14ac:dyDescent="0.35">
      <c r="A5" t="s">
        <v>99</v>
      </c>
      <c r="B5" t="s">
        <v>33</v>
      </c>
      <c r="C5" t="s">
        <v>56</v>
      </c>
      <c r="D5">
        <v>1</v>
      </c>
      <c r="E5" s="3">
        <v>46026</v>
      </c>
      <c r="F5" t="s">
        <v>89</v>
      </c>
    </row>
    <row r="6" spans="1:6" x14ac:dyDescent="0.35">
      <c r="A6" t="s">
        <v>100</v>
      </c>
      <c r="B6" t="s">
        <v>10</v>
      </c>
      <c r="C6" t="s">
        <v>59</v>
      </c>
      <c r="D6">
        <v>2</v>
      </c>
      <c r="E6" s="3">
        <v>46027</v>
      </c>
      <c r="F6" t="s">
        <v>91</v>
      </c>
    </row>
    <row r="7" spans="1:6" x14ac:dyDescent="0.35">
      <c r="A7" t="s">
        <v>101</v>
      </c>
      <c r="B7" t="s">
        <v>26</v>
      </c>
      <c r="C7" t="s">
        <v>63</v>
      </c>
      <c r="D7">
        <v>1</v>
      </c>
      <c r="E7" s="3">
        <v>46028</v>
      </c>
      <c r="F7" t="s">
        <v>83</v>
      </c>
    </row>
    <row r="8" spans="1:6" x14ac:dyDescent="0.35">
      <c r="A8" t="s">
        <v>102</v>
      </c>
      <c r="B8" t="s">
        <v>23</v>
      </c>
      <c r="C8" t="s">
        <v>66</v>
      </c>
      <c r="D8">
        <v>1</v>
      </c>
      <c r="E8" s="3">
        <v>46029</v>
      </c>
      <c r="F8" t="s">
        <v>85</v>
      </c>
    </row>
    <row r="9" spans="1:6" x14ac:dyDescent="0.35">
      <c r="A9" t="s">
        <v>103</v>
      </c>
      <c r="B9" t="s">
        <v>36</v>
      </c>
      <c r="C9" t="s">
        <v>70</v>
      </c>
      <c r="D9">
        <v>2</v>
      </c>
      <c r="E9" s="3">
        <v>46030</v>
      </c>
      <c r="F9" t="s">
        <v>87</v>
      </c>
    </row>
    <row r="10" spans="1:6" x14ac:dyDescent="0.35">
      <c r="A10" t="s">
        <v>104</v>
      </c>
      <c r="B10" t="s">
        <v>16</v>
      </c>
      <c r="C10" t="s">
        <v>74</v>
      </c>
      <c r="D10">
        <v>4</v>
      </c>
      <c r="E10" s="3">
        <v>46031</v>
      </c>
      <c r="F10" t="s">
        <v>89</v>
      </c>
    </row>
    <row r="11" spans="1:6" x14ac:dyDescent="0.35">
      <c r="A11" t="s">
        <v>105</v>
      </c>
      <c r="B11" t="s">
        <v>30</v>
      </c>
      <c r="C11" t="s">
        <v>77</v>
      </c>
      <c r="D11">
        <v>1</v>
      </c>
      <c r="E11" s="3">
        <v>46032</v>
      </c>
      <c r="F11" t="s">
        <v>91</v>
      </c>
    </row>
    <row r="12" spans="1:6" x14ac:dyDescent="0.35">
      <c r="A12" t="s">
        <v>106</v>
      </c>
      <c r="B12" t="s">
        <v>20</v>
      </c>
      <c r="C12" t="s">
        <v>43</v>
      </c>
      <c r="D12">
        <v>5</v>
      </c>
      <c r="E12" s="3">
        <v>46033</v>
      </c>
      <c r="F12" t="s">
        <v>83</v>
      </c>
    </row>
    <row r="13" spans="1:6" x14ac:dyDescent="0.35">
      <c r="A13" t="s">
        <v>107</v>
      </c>
      <c r="B13" t="s">
        <v>13</v>
      </c>
      <c r="C13" t="s">
        <v>48</v>
      </c>
      <c r="D13">
        <v>3</v>
      </c>
      <c r="E13" s="3">
        <v>46034</v>
      </c>
      <c r="F13" t="s">
        <v>85</v>
      </c>
    </row>
    <row r="14" spans="1:6" x14ac:dyDescent="0.35">
      <c r="A14" t="s">
        <v>108</v>
      </c>
      <c r="B14" t="s">
        <v>6</v>
      </c>
      <c r="C14" t="s">
        <v>52</v>
      </c>
      <c r="D14">
        <v>1</v>
      </c>
      <c r="E14" s="3">
        <v>46035</v>
      </c>
      <c r="F14" t="s">
        <v>87</v>
      </c>
    </row>
    <row r="15" spans="1:6" x14ac:dyDescent="0.35">
      <c r="A15" t="s">
        <v>109</v>
      </c>
      <c r="B15" t="s">
        <v>33</v>
      </c>
      <c r="C15" t="s">
        <v>56</v>
      </c>
      <c r="D15">
        <v>2</v>
      </c>
      <c r="E15" s="3">
        <v>46036</v>
      </c>
      <c r="F15" t="s">
        <v>89</v>
      </c>
    </row>
    <row r="16" spans="1:6" x14ac:dyDescent="0.35">
      <c r="A16" t="s">
        <v>110</v>
      </c>
      <c r="B16" t="s">
        <v>10</v>
      </c>
      <c r="C16" t="s">
        <v>59</v>
      </c>
      <c r="D16">
        <v>1</v>
      </c>
      <c r="E16" s="3">
        <v>46037</v>
      </c>
      <c r="F16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A1B6-8C02-429C-9740-D438061B33EF}">
  <dimension ref="A1:E11"/>
  <sheetViews>
    <sheetView workbookViewId="0">
      <selection sqref="A1:A11"/>
    </sheetView>
  </sheetViews>
  <sheetFormatPr defaultRowHeight="14.5" x14ac:dyDescent="0.35"/>
  <cols>
    <col min="1" max="1" width="11.1796875" bestFit="1" customWidth="1"/>
    <col min="2" max="2" width="14.36328125" bestFit="1" customWidth="1"/>
    <col min="3" max="3" width="11" bestFit="1" customWidth="1"/>
    <col min="4" max="4" width="14.90625" bestFit="1" customWidth="1"/>
    <col min="5" max="5" width="7" bestFit="1" customWidth="1"/>
  </cols>
  <sheetData>
    <row r="1" spans="1:5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5" x14ac:dyDescent="0.35">
      <c r="A3" t="s">
        <v>48</v>
      </c>
      <c r="B3" t="s">
        <v>49</v>
      </c>
      <c r="C3" t="s">
        <v>50</v>
      </c>
      <c r="D3" t="s">
        <v>46</v>
      </c>
      <c r="E3" t="s">
        <v>51</v>
      </c>
    </row>
    <row r="4" spans="1:5" x14ac:dyDescent="0.35">
      <c r="A4" t="s">
        <v>52</v>
      </c>
      <c r="B4" t="s">
        <v>53</v>
      </c>
      <c r="C4" t="s">
        <v>54</v>
      </c>
      <c r="D4" t="s">
        <v>55</v>
      </c>
      <c r="E4" t="s">
        <v>47</v>
      </c>
    </row>
    <row r="5" spans="1:5" x14ac:dyDescent="0.35">
      <c r="A5" t="s">
        <v>56</v>
      </c>
      <c r="B5" t="s">
        <v>57</v>
      </c>
      <c r="C5" t="s">
        <v>58</v>
      </c>
      <c r="D5" t="s">
        <v>55</v>
      </c>
      <c r="E5" t="s">
        <v>51</v>
      </c>
    </row>
    <row r="6" spans="1:5" x14ac:dyDescent="0.35">
      <c r="A6" t="s">
        <v>59</v>
      </c>
      <c r="B6" t="s">
        <v>60</v>
      </c>
      <c r="C6" t="s">
        <v>61</v>
      </c>
      <c r="D6" t="s">
        <v>62</v>
      </c>
      <c r="E6" t="s">
        <v>47</v>
      </c>
    </row>
    <row r="7" spans="1:5" x14ac:dyDescent="0.35">
      <c r="A7" t="s">
        <v>63</v>
      </c>
      <c r="B7" t="s">
        <v>64</v>
      </c>
      <c r="C7" t="s">
        <v>65</v>
      </c>
      <c r="D7" t="s">
        <v>65</v>
      </c>
      <c r="E7" t="s">
        <v>51</v>
      </c>
    </row>
    <row r="8" spans="1:5" x14ac:dyDescent="0.35">
      <c r="A8" t="s">
        <v>66</v>
      </c>
      <c r="B8" t="s">
        <v>67</v>
      </c>
      <c r="C8" t="s">
        <v>68</v>
      </c>
      <c r="D8" t="s">
        <v>69</v>
      </c>
      <c r="E8" t="s">
        <v>47</v>
      </c>
    </row>
    <row r="9" spans="1:5" x14ac:dyDescent="0.35">
      <c r="A9" t="s">
        <v>70</v>
      </c>
      <c r="B9" t="s">
        <v>71</v>
      </c>
      <c r="C9" t="s">
        <v>72</v>
      </c>
      <c r="D9" t="s">
        <v>73</v>
      </c>
      <c r="E9" t="s">
        <v>51</v>
      </c>
    </row>
    <row r="10" spans="1:5" x14ac:dyDescent="0.35">
      <c r="A10" t="s">
        <v>74</v>
      </c>
      <c r="B10" t="s">
        <v>75</v>
      </c>
      <c r="C10" t="s">
        <v>76</v>
      </c>
      <c r="D10" t="s">
        <v>46</v>
      </c>
      <c r="E10" t="s">
        <v>47</v>
      </c>
    </row>
    <row r="11" spans="1:5" x14ac:dyDescent="0.35">
      <c r="A11" t="s">
        <v>77</v>
      </c>
      <c r="B11" t="s">
        <v>78</v>
      </c>
      <c r="C11" t="s">
        <v>79</v>
      </c>
      <c r="D11" t="s">
        <v>80</v>
      </c>
      <c r="E1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ADB0-B24A-4BEB-9ED7-3D528A823102}">
  <dimension ref="A1:D6"/>
  <sheetViews>
    <sheetView workbookViewId="0">
      <selection activeCell="B1" sqref="B1"/>
    </sheetView>
  </sheetViews>
  <sheetFormatPr defaultRowHeight="14.5" x14ac:dyDescent="0.35"/>
  <cols>
    <col min="1" max="1" width="7.453125" bestFit="1" customWidth="1"/>
    <col min="2" max="2" width="11.6328125" bestFit="1" customWidth="1"/>
    <col min="3" max="3" width="11" bestFit="1" customWidth="1"/>
    <col min="4" max="4" width="11.6328125" bestFit="1" customWidth="1"/>
  </cols>
  <sheetData>
    <row r="1" spans="1:4" x14ac:dyDescent="0.35">
      <c r="A1" t="s">
        <v>81</v>
      </c>
      <c r="B1" t="s">
        <v>82</v>
      </c>
      <c r="C1" t="s">
        <v>40</v>
      </c>
      <c r="D1" t="s">
        <v>41</v>
      </c>
    </row>
    <row r="2" spans="1:4" x14ac:dyDescent="0.35">
      <c r="A2" t="s">
        <v>83</v>
      </c>
      <c r="B2" t="s">
        <v>84</v>
      </c>
      <c r="C2" t="s">
        <v>45</v>
      </c>
      <c r="D2" t="s">
        <v>46</v>
      </c>
    </row>
    <row r="3" spans="1:4" x14ac:dyDescent="0.35">
      <c r="A3" t="s">
        <v>85</v>
      </c>
      <c r="B3" t="s">
        <v>86</v>
      </c>
      <c r="C3" t="s">
        <v>50</v>
      </c>
      <c r="D3" t="s">
        <v>46</v>
      </c>
    </row>
    <row r="4" spans="1:4" x14ac:dyDescent="0.35">
      <c r="A4" t="s">
        <v>87</v>
      </c>
      <c r="B4" t="s">
        <v>88</v>
      </c>
      <c r="C4" t="s">
        <v>54</v>
      </c>
      <c r="D4" t="s">
        <v>55</v>
      </c>
    </row>
    <row r="5" spans="1:4" x14ac:dyDescent="0.35">
      <c r="A5" t="s">
        <v>89</v>
      </c>
      <c r="B5" t="s">
        <v>90</v>
      </c>
      <c r="C5" t="s">
        <v>58</v>
      </c>
      <c r="D5" t="s">
        <v>55</v>
      </c>
    </row>
    <row r="6" spans="1:4" x14ac:dyDescent="0.35">
      <c r="A6" t="s">
        <v>91</v>
      </c>
      <c r="B6" t="s">
        <v>92</v>
      </c>
      <c r="C6" t="s">
        <v>61</v>
      </c>
      <c r="D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answer</vt:lpstr>
      <vt:lpstr>task</vt:lpstr>
      <vt:lpstr>sales</vt:lpstr>
      <vt:lpstr>customers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 Subham</dc:creator>
  <cp:lastModifiedBy>Gyan Subham</cp:lastModifiedBy>
  <dcterms:created xsi:type="dcterms:W3CDTF">2026-07-29T02:59:58Z</dcterms:created>
  <dcterms:modified xsi:type="dcterms:W3CDTF">2026-08-02T04:51:51Z</dcterms:modified>
</cp:coreProperties>
</file>