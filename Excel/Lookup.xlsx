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Adani ASDS\"/>
    </mc:Choice>
  </mc:AlternateContent>
  <xr:revisionPtr revIDLastSave="0" documentId="13_ncr:1_{F076304A-B0FF-4E75-8560-B1453B630C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Task-1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I3" i="2"/>
  <c r="I4" i="2"/>
  <c r="I5" i="2"/>
  <c r="I6" i="2"/>
  <c r="I7" i="2"/>
  <c r="I8" i="2"/>
  <c r="I9" i="2"/>
  <c r="I2" i="2"/>
  <c r="H3" i="2"/>
  <c r="H4" i="2"/>
  <c r="H5" i="2"/>
  <c r="H6" i="2"/>
  <c r="H7" i="2"/>
  <c r="H8" i="2"/>
  <c r="H9" i="2"/>
  <c r="H2" i="2"/>
  <c r="C59" i="1"/>
  <c r="C58" i="1"/>
  <c r="C55" i="1"/>
  <c r="C51" i="1"/>
  <c r="D51" i="1"/>
  <c r="D44" i="1"/>
  <c r="D45" i="1"/>
  <c r="D46" i="1"/>
  <c r="D47" i="1"/>
  <c r="D48" i="1"/>
  <c r="D49" i="1"/>
  <c r="D50" i="1"/>
  <c r="D43" i="1"/>
  <c r="C44" i="1"/>
  <c r="C45" i="1"/>
  <c r="C46" i="1"/>
  <c r="C47" i="1"/>
  <c r="C48" i="1"/>
  <c r="C49" i="1"/>
  <c r="C50" i="1"/>
  <c r="C43" i="1"/>
  <c r="B39" i="1"/>
  <c r="E36" i="1"/>
  <c r="D36" i="1"/>
  <c r="C36" i="1"/>
  <c r="C33" i="1"/>
  <c r="C30" i="1"/>
  <c r="C23" i="1"/>
  <c r="C21" i="1"/>
  <c r="C19" i="1"/>
  <c r="C17" i="1"/>
  <c r="C15" i="1"/>
  <c r="C13" i="1"/>
</calcChain>
</file>

<file path=xl/sharedStrings.xml><?xml version="1.0" encoding="utf-8"?>
<sst xmlns="http://schemas.openxmlformats.org/spreadsheetml/2006/main" count="155" uniqueCount="57">
  <si>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</si>
  <si>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</si>
  <si>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</si>
  <si>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</si>
  <si>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</si>
  <si>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</si>
  <si>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</si>
  <si>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</si>
  <si>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</si>
  <si>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</si>
  <si>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</si>
  <si>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</si>
  <si>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</si>
  <si>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</si>
  <si>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</si>
  <si>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</si>
  <si>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</si>
  <si>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</si>
  <si>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</si>
  <si>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</si>
  <si>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</si>
  <si>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</si>
  <si>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</si>
  <si>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</si>
  <si>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</si>
  <si>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</si>
  <si>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</si>
  <si>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</si>
  <si>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</si>
  <si>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</si>
  <si>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</si>
  <si>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</si>
  <si>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</si>
  <si>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Task-1</t>
  </si>
  <si>
    <t>Task-2</t>
  </si>
  <si>
    <t>Task-3</t>
  </si>
  <si>
    <t>Task-4</t>
  </si>
  <si>
    <t>Task-5</t>
  </si>
  <si>
    <t>E109</t>
  </si>
  <si>
    <t>Task-6</t>
  </si>
  <si>
    <t>Joining Year</t>
  </si>
  <si>
    <t>Bonus %</t>
  </si>
  <si>
    <t>Task-7</t>
  </si>
  <si>
    <t>Bonus</t>
  </si>
  <si>
    <t>Task-8</t>
  </si>
  <si>
    <t>Bonus Amount</t>
  </si>
  <si>
    <t>Bonus AMT</t>
  </si>
  <si>
    <t>Task-10</t>
  </si>
  <si>
    <t>Advisor</t>
  </si>
  <si>
    <t>Task-11</t>
  </si>
  <si>
    <t>Task-12</t>
  </si>
  <si>
    <t>E110</t>
  </si>
  <si>
    <t>Task-13</t>
  </si>
  <si>
    <t>Task-14</t>
  </si>
  <si>
    <t>E999</t>
  </si>
  <si>
    <t>Found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</si>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</sst>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0" fillId="0" borderId="2" xfId="0" applyBorder="1"/>
    <xf numFmtId="0" fontId="3" fillId="2" borderId="2" xfId="0" applyFont="1" applyFill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 wrapText="1" indent="1"/>
    </xf>
    <xf numFmtId="9" fontId="0" fillId="0" borderId="0" xfId="1" applyFont="1"/>
    <xf numFmtId="0" fontId="3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zoomScale="160" zoomScaleNormal="160" workbookViewId="0">
      <pane ySplit="1" topLeftCell="A2" activePane="bottomLeft" state="frozen"/>
      <selection pane="bottomLeft" activeCell="A26" sqref="A26:F27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</cols>
  <sheetData>
    <row r="1" spans="1:6" ht="18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</row>
    <row r="2" spans="1:6" ht="18" thickBot="1" x14ac:dyDescent="0.3">
      <c r="A2" s="6" t="s">
        <v>6</v>
      </c>
      <c r="B2" s="7" t="s">
        <v>7</v>
      </c>
      <c r="C2" s="7" t="s">
        <v>8</v>
      </c>
      <c r="D2" s="7" t="s">
        <v>9</v>
      </c>
      <c r="E2" s="6">
        <v>45000</v>
      </c>
      <c r="F2" s="6">
        <v>2019</v>
      </c>
    </row>
    <row r="3" spans="1:6" ht="18" thickBot="1" x14ac:dyDescent="0.3">
      <c r="A3" s="6" t="s">
        <v>10</v>
      </c>
      <c r="B3" s="7" t="s">
        <v>11</v>
      </c>
      <c r="C3" s="7" t="s">
        <v>12</v>
      </c>
      <c r="D3" s="7" t="s">
        <v>13</v>
      </c>
      <c r="E3" s="6">
        <v>52000</v>
      </c>
      <c r="F3" s="6">
        <v>2018</v>
      </c>
    </row>
    <row r="4" spans="1:6" ht="18" thickBot="1" x14ac:dyDescent="0.3">
      <c r="A4" s="6" t="s">
        <v>14</v>
      </c>
      <c r="B4" s="7" t="s">
        <v>15</v>
      </c>
      <c r="C4" s="7" t="s">
        <v>16</v>
      </c>
      <c r="D4" s="7" t="s">
        <v>17</v>
      </c>
      <c r="E4" s="6">
        <v>65000</v>
      </c>
      <c r="F4" s="6">
        <v>2020</v>
      </c>
    </row>
    <row r="5" spans="1:6" ht="18" thickBot="1" x14ac:dyDescent="0.3">
      <c r="A5" s="6" t="s">
        <v>18</v>
      </c>
      <c r="B5" s="7" t="s">
        <v>19</v>
      </c>
      <c r="C5" s="7" t="s">
        <v>20</v>
      </c>
      <c r="D5" s="7" t="s">
        <v>21</v>
      </c>
      <c r="E5" s="6">
        <v>58000</v>
      </c>
      <c r="F5" s="6">
        <v>2017</v>
      </c>
    </row>
    <row r="6" spans="1:6" ht="18" thickBot="1" x14ac:dyDescent="0.3">
      <c r="A6" s="6" t="s">
        <v>22</v>
      </c>
      <c r="B6" s="7" t="s">
        <v>23</v>
      </c>
      <c r="C6" s="7" t="s">
        <v>24</v>
      </c>
      <c r="D6" s="7" t="s">
        <v>9</v>
      </c>
      <c r="E6" s="6">
        <v>48000</v>
      </c>
      <c r="F6" s="6">
        <v>2021</v>
      </c>
    </row>
    <row r="7" spans="1:6" ht="18" thickBot="1" x14ac:dyDescent="0.3">
      <c r="A7" s="6" t="s">
        <v>25</v>
      </c>
      <c r="B7" s="7" t="s">
        <v>26</v>
      </c>
      <c r="C7" s="7" t="s">
        <v>16</v>
      </c>
      <c r="D7" s="7" t="s">
        <v>27</v>
      </c>
      <c r="E7" s="6">
        <v>62000</v>
      </c>
      <c r="F7" s="6">
        <v>2019</v>
      </c>
    </row>
    <row r="8" spans="1:6" ht="18" thickBot="1" x14ac:dyDescent="0.3">
      <c r="A8" s="6" t="s">
        <v>28</v>
      </c>
      <c r="B8" s="7" t="s">
        <v>29</v>
      </c>
      <c r="C8" s="7" t="s">
        <v>8</v>
      </c>
      <c r="D8" s="7" t="s">
        <v>30</v>
      </c>
      <c r="E8" s="6">
        <v>47000</v>
      </c>
      <c r="F8" s="6">
        <v>2020</v>
      </c>
    </row>
    <row r="9" spans="1:6" ht="18" thickBot="1" x14ac:dyDescent="0.3">
      <c r="A9" s="6" t="s">
        <v>31</v>
      </c>
      <c r="B9" s="7" t="s">
        <v>32</v>
      </c>
      <c r="C9" s="7" t="s">
        <v>12</v>
      </c>
      <c r="D9" s="7" t="s">
        <v>17</v>
      </c>
      <c r="E9" s="6">
        <v>54000</v>
      </c>
      <c r="F9" s="6">
        <v>2016</v>
      </c>
    </row>
    <row r="11" spans="1:6" ht="15.75" thickBot="1" x14ac:dyDescent="0.3">
      <c r="A11" s="11"/>
    </row>
    <row r="12" spans="1:6" ht="18" thickBot="1" x14ac:dyDescent="0.3">
      <c r="A12" s="12" t="s">
        <v>33</v>
      </c>
      <c r="B12" s="9" t="s">
        <v>0</v>
      </c>
      <c r="C12" s="5" t="s">
        <v>1</v>
      </c>
    </row>
    <row r="13" spans="1:6" ht="18" thickBot="1" x14ac:dyDescent="0.3">
      <c r="A13" s="11"/>
      <c r="B13" s="10" t="s">
        <v>18</v>
      </c>
      <c r="C13" t="str">
        <f>VLOOKUP(B13,A2:F9,2,0)</f>
        <v>Neha Singh</v>
      </c>
    </row>
    <row r="14" spans="1:6" ht="18" thickBot="1" x14ac:dyDescent="0.3">
      <c r="A14" s="12" t="s">
        <v>34</v>
      </c>
      <c r="B14" s="9" t="s">
        <v>0</v>
      </c>
      <c r="C14" s="5" t="s">
        <v>2</v>
      </c>
    </row>
    <row r="15" spans="1:6" ht="18" thickBot="1" x14ac:dyDescent="0.3">
      <c r="B15" s="6" t="s">
        <v>14</v>
      </c>
      <c r="C15" t="str">
        <f>VLOOKUP(B15,A2:F9,3,0)</f>
        <v>IT</v>
      </c>
    </row>
    <row r="16" spans="1:6" ht="18" thickBot="1" x14ac:dyDescent="0.3">
      <c r="A16" s="12" t="s">
        <v>35</v>
      </c>
      <c r="B16" s="5" t="s">
        <v>1</v>
      </c>
      <c r="C16" s="4" t="s">
        <v>4</v>
      </c>
    </row>
    <row r="17" spans="1:6" ht="18" thickBot="1" x14ac:dyDescent="0.3">
      <c r="B17" s="7" t="s">
        <v>19</v>
      </c>
      <c r="C17">
        <f>VLOOKUP(B17,B1:F9,4,0)</f>
        <v>58000</v>
      </c>
    </row>
    <row r="18" spans="1:6" ht="18" thickBot="1" x14ac:dyDescent="0.3">
      <c r="A18" s="12" t="s">
        <v>36</v>
      </c>
      <c r="B18" s="4" t="s">
        <v>0</v>
      </c>
      <c r="C18" s="5" t="s">
        <v>3</v>
      </c>
    </row>
    <row r="19" spans="1:6" ht="18" thickBot="1" x14ac:dyDescent="0.3">
      <c r="B19" s="6" t="s">
        <v>28</v>
      </c>
      <c r="C19" t="str">
        <f>VLOOKUP(B19,A1:F9,4,0)</f>
        <v>Hyderabad</v>
      </c>
    </row>
    <row r="20" spans="1:6" ht="18" thickBot="1" x14ac:dyDescent="0.3">
      <c r="A20" s="12" t="s">
        <v>37</v>
      </c>
      <c r="B20" s="4" t="s">
        <v>0</v>
      </c>
    </row>
    <row r="21" spans="1:6" ht="15.75" thickBot="1" x14ac:dyDescent="0.3">
      <c r="B21" t="s">
        <v>38</v>
      </c>
      <c r="C21" t="str">
        <f>IFERROR(VLOOKUP(B21,A1:F9,1,0),"Not Found")</f>
        <v>Not Found</v>
      </c>
    </row>
    <row r="22" spans="1:6" ht="18" thickBot="1" x14ac:dyDescent="0.3">
      <c r="A22" s="12" t="s">
        <v>39</v>
      </c>
      <c r="B22" s="4" t="s">
        <v>0</v>
      </c>
      <c r="C22" t="s">
        <v>40</v>
      </c>
    </row>
    <row r="23" spans="1:6" ht="18" thickBot="1" x14ac:dyDescent="0.3">
      <c r="B23" s="6" t="s">
        <v>6</v>
      </c>
      <c r="C23">
        <f>VLOOKUP(B23,A1:F9,6,0)</f>
        <v>2019</v>
      </c>
    </row>
    <row r="25" spans="1:6" ht="15.75" thickBot="1" x14ac:dyDescent="0.3"/>
    <row r="26" spans="1:6" ht="35.25" thickBot="1" x14ac:dyDescent="0.3">
      <c r="A26" s="2" t="s">
        <v>2</v>
      </c>
      <c r="B26" s="1" t="s">
        <v>8</v>
      </c>
      <c r="C26" s="1" t="s">
        <v>12</v>
      </c>
      <c r="D26" s="1" t="s">
        <v>16</v>
      </c>
      <c r="E26" s="1" t="s">
        <v>20</v>
      </c>
      <c r="F26" s="1" t="s">
        <v>24</v>
      </c>
    </row>
    <row r="27" spans="1:6" ht="18" thickBot="1" x14ac:dyDescent="0.3">
      <c r="A27" s="3" t="s">
        <v>41</v>
      </c>
      <c r="B27" s="13">
        <v>0.1</v>
      </c>
      <c r="C27" s="13">
        <v>0.08</v>
      </c>
      <c r="D27" s="13">
        <v>0.12</v>
      </c>
      <c r="E27" s="13">
        <v>0.15</v>
      </c>
      <c r="F27" s="13">
        <v>0.09</v>
      </c>
    </row>
    <row r="29" spans="1:6" ht="17.25" x14ac:dyDescent="0.25">
      <c r="A29" s="12" t="s">
        <v>42</v>
      </c>
      <c r="B29" t="s">
        <v>2</v>
      </c>
      <c r="C29" t="s">
        <v>43</v>
      </c>
    </row>
    <row r="30" spans="1:6" x14ac:dyDescent="0.25">
      <c r="B30" t="s">
        <v>16</v>
      </c>
      <c r="C30" s="14">
        <f>HLOOKUP(B30,A26:F27,2,0)</f>
        <v>0.12</v>
      </c>
    </row>
    <row r="32" spans="1:6" ht="17.25" x14ac:dyDescent="0.25">
      <c r="A32" s="12" t="s">
        <v>44</v>
      </c>
      <c r="B32" t="s">
        <v>2</v>
      </c>
      <c r="C32" t="s">
        <v>45</v>
      </c>
    </row>
    <row r="33" spans="1:5" x14ac:dyDescent="0.25">
      <c r="B33" t="s">
        <v>20</v>
      </c>
      <c r="C33">
        <f>E5*HLOOKUP(B33,A26:F27,2,0)</f>
        <v>8700</v>
      </c>
    </row>
    <row r="34" spans="1:5" ht="15.75" thickBot="1" x14ac:dyDescent="0.3"/>
    <row r="35" spans="1:5" ht="18" thickBot="1" x14ac:dyDescent="0.3">
      <c r="B35" s="4" t="s">
        <v>0</v>
      </c>
      <c r="C35" t="s">
        <v>2</v>
      </c>
      <c r="D35" t="s">
        <v>4</v>
      </c>
      <c r="E35" t="s">
        <v>46</v>
      </c>
    </row>
    <row r="36" spans="1:5" x14ac:dyDescent="0.25">
      <c r="B36" t="s">
        <v>18</v>
      </c>
      <c r="C36" t="str">
        <f>VLOOKUP(B36,A1:F9,3,0)</f>
        <v>Finance</v>
      </c>
      <c r="D36">
        <f>VLOOKUP(B36,A1:F9,5,0)</f>
        <v>58000</v>
      </c>
      <c r="E36">
        <f>D36*HLOOKUP(C36,A26:F27,2,0)</f>
        <v>8700</v>
      </c>
    </row>
    <row r="38" spans="1:5" ht="17.25" x14ac:dyDescent="0.25">
      <c r="A38" s="12" t="s">
        <v>47</v>
      </c>
      <c r="B38" t="s">
        <v>2</v>
      </c>
    </row>
    <row r="39" spans="1:5" x14ac:dyDescent="0.25">
      <c r="A39" t="s">
        <v>48</v>
      </c>
      <c r="B39" t="str">
        <f>IFERROR(HLOOKUP(A39,A26:F27,1,0),"No Bonus Data")</f>
        <v>No Bonus Data</v>
      </c>
    </row>
    <row r="41" spans="1:5" ht="15.75" thickBot="1" x14ac:dyDescent="0.3">
      <c r="D41" t="s">
        <v>50</v>
      </c>
    </row>
    <row r="42" spans="1:5" ht="18" thickBot="1" x14ac:dyDescent="0.3">
      <c r="A42" s="12" t="s">
        <v>49</v>
      </c>
      <c r="B42" s="4" t="s">
        <v>0</v>
      </c>
      <c r="C42" t="s">
        <v>4</v>
      </c>
      <c r="D42" t="s">
        <v>2</v>
      </c>
    </row>
    <row r="43" spans="1:5" ht="18" thickBot="1" x14ac:dyDescent="0.3">
      <c r="B43" s="6" t="s">
        <v>6</v>
      </c>
      <c r="C43">
        <f>_xlfn.XLOOKUP(B43,$A$1:$A$9,$E$1:$E$9,"Eroor",0)</f>
        <v>45000</v>
      </c>
      <c r="D43" t="str">
        <f>_xlfn.XLOOKUP(B43,$A$1:$A$9,$C$1:$C$9,"Not Found",0)</f>
        <v>Sales</v>
      </c>
    </row>
    <row r="44" spans="1:5" ht="18" thickBot="1" x14ac:dyDescent="0.3">
      <c r="B44" s="6" t="s">
        <v>10</v>
      </c>
      <c r="C44">
        <f t="shared" ref="C44:C51" si="0">_xlfn.XLOOKUP(B44,$A$1:$A$9,$E$1:$E$9,"Eroor",0)</f>
        <v>52000</v>
      </c>
      <c r="D44" t="str">
        <f t="shared" ref="D44:D51" si="1">_xlfn.XLOOKUP(B44,$A$1:$A$9,$C$1:$C$9,"Not Found",0)</f>
        <v>HR</v>
      </c>
    </row>
    <row r="45" spans="1:5" ht="18" thickBot="1" x14ac:dyDescent="0.3">
      <c r="B45" s="6" t="s">
        <v>14</v>
      </c>
      <c r="C45">
        <f t="shared" si="0"/>
        <v>65000</v>
      </c>
      <c r="D45" t="str">
        <f t="shared" si="1"/>
        <v>IT</v>
      </c>
    </row>
    <row r="46" spans="1:5" ht="18" thickBot="1" x14ac:dyDescent="0.3">
      <c r="B46" s="6" t="s">
        <v>18</v>
      </c>
      <c r="C46">
        <f t="shared" si="0"/>
        <v>58000</v>
      </c>
      <c r="D46" t="str">
        <f t="shared" si="1"/>
        <v>Finance</v>
      </c>
    </row>
    <row r="47" spans="1:5" ht="18" thickBot="1" x14ac:dyDescent="0.3">
      <c r="B47" s="6" t="s">
        <v>10</v>
      </c>
      <c r="C47">
        <f t="shared" si="0"/>
        <v>52000</v>
      </c>
      <c r="D47" t="str">
        <f t="shared" si="1"/>
        <v>HR</v>
      </c>
    </row>
    <row r="48" spans="1:5" ht="18" thickBot="1" x14ac:dyDescent="0.3">
      <c r="B48" s="6" t="s">
        <v>25</v>
      </c>
      <c r="C48">
        <f t="shared" si="0"/>
        <v>62000</v>
      </c>
      <c r="D48" t="str">
        <f t="shared" si="1"/>
        <v>IT</v>
      </c>
    </row>
    <row r="49" spans="1:4" ht="18" thickBot="1" x14ac:dyDescent="0.3">
      <c r="B49" s="6" t="s">
        <v>28</v>
      </c>
      <c r="C49">
        <f t="shared" si="0"/>
        <v>47000</v>
      </c>
      <c r="D49" t="str">
        <f t="shared" si="1"/>
        <v>Sales</v>
      </c>
    </row>
    <row r="50" spans="1:4" ht="18" thickBot="1" x14ac:dyDescent="0.3">
      <c r="B50" s="6" t="s">
        <v>31</v>
      </c>
      <c r="C50">
        <f t="shared" si="0"/>
        <v>54000</v>
      </c>
      <c r="D50" t="str">
        <f t="shared" si="1"/>
        <v>HR</v>
      </c>
    </row>
    <row r="51" spans="1:4" ht="17.25" x14ac:dyDescent="0.25">
      <c r="B51" s="15" t="s">
        <v>51</v>
      </c>
      <c r="C51" t="str">
        <f t="shared" si="0"/>
        <v>Eroor</v>
      </c>
      <c r="D51" t="str">
        <f t="shared" si="1"/>
        <v>Not Found</v>
      </c>
    </row>
    <row r="54" spans="1:4" ht="17.25" x14ac:dyDescent="0.25">
      <c r="A54" t="s">
        <v>52</v>
      </c>
      <c r="B54" s="8" t="s">
        <v>1</v>
      </c>
      <c r="C54" t="s">
        <v>3</v>
      </c>
    </row>
    <row r="55" spans="1:4" ht="17.25" x14ac:dyDescent="0.25">
      <c r="B55" s="8" t="s">
        <v>15</v>
      </c>
      <c r="C55" t="str">
        <f>_xlfn.XLOOKUP(B55,B1:B9,D1:D9,"Not Found",0)</f>
        <v>Bangalore</v>
      </c>
    </row>
    <row r="57" spans="1:4" x14ac:dyDescent="0.25">
      <c r="A57" t="s">
        <v>53</v>
      </c>
      <c r="B57" t="s">
        <v>0</v>
      </c>
      <c r="C57" t="s">
        <v>55</v>
      </c>
    </row>
    <row r="58" spans="1:4" x14ac:dyDescent="0.25">
      <c r="B58" t="s">
        <v>54</v>
      </c>
      <c r="C58" t="str">
        <f>_xlfn.XLOOKUP(B58,A1:A9,A1:A9,"Not Found",0)</f>
        <v>Not Found</v>
      </c>
    </row>
    <row r="59" spans="1:4" x14ac:dyDescent="0.25">
      <c r="B59" t="s">
        <v>10</v>
      </c>
      <c r="C59" t="str">
        <f>_xlfn.XLOOKUP(B59,A2:A10,A2:A10,"Not Found",0)</f>
        <v>E102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923D-39D9-4BA5-9722-3A7DEA905EC8}">
  <dimension ref="A1:I13"/>
  <sheetViews>
    <sheetView tabSelected="1" zoomScale="160" zoomScaleNormal="160" workbookViewId="0">
      <selection activeCell="E17" sqref="E17"/>
    </sheetView>
  </sheetViews>
  <sheetFormatPr defaultRowHeight="15" x14ac:dyDescent="0.25"/>
  <cols>
    <col min="1" max="1" width="14.7109375" bestFit="1" customWidth="1"/>
    <col min="2" max="2" width="15.710937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7" max="7" width="10.85546875" bestFit="1" customWidth="1"/>
    <col min="8" max="8" width="8.140625" bestFit="1" customWidth="1"/>
    <col min="9" max="9" width="16.5703125" bestFit="1" customWidth="1"/>
  </cols>
  <sheetData>
    <row r="1" spans="1:9" ht="18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16" t="s">
        <v>41</v>
      </c>
      <c r="H1" s="16" t="s">
        <v>43</v>
      </c>
      <c r="I1" s="16" t="s">
        <v>56</v>
      </c>
    </row>
    <row r="2" spans="1:9" ht="18" thickBot="1" x14ac:dyDescent="0.3">
      <c r="A2" s="6" t="s">
        <v>6</v>
      </c>
      <c r="B2" s="7" t="s">
        <v>7</v>
      </c>
      <c r="C2" s="7" t="s">
        <v>8</v>
      </c>
      <c r="D2" s="7" t="s">
        <v>9</v>
      </c>
      <c r="E2" s="6">
        <v>45000</v>
      </c>
      <c r="F2" s="6">
        <v>2019</v>
      </c>
      <c r="G2" s="14">
        <f>_xlfn.XLOOKUP(C2,$A$12:$F$12,$A$13:$F$13,"Error",0)</f>
        <v>0.1</v>
      </c>
      <c r="H2">
        <f>E2*_xlfn.XLOOKUP($C$2,$A$12:$F$12,$A$13:$F$13,"Error",0)</f>
        <v>4500</v>
      </c>
      <c r="I2">
        <f>SUM(E2,H2)</f>
        <v>49500</v>
      </c>
    </row>
    <row r="3" spans="1:9" ht="18" thickBot="1" x14ac:dyDescent="0.3">
      <c r="A3" s="6" t="s">
        <v>10</v>
      </c>
      <c r="B3" s="7" t="s">
        <v>11</v>
      </c>
      <c r="C3" s="7" t="s">
        <v>12</v>
      </c>
      <c r="D3" s="7" t="s">
        <v>13</v>
      </c>
      <c r="E3" s="6">
        <v>52000</v>
      </c>
      <c r="F3" s="6">
        <v>2018</v>
      </c>
      <c r="G3" s="14">
        <f t="shared" ref="G3:G9" si="0">_xlfn.XLOOKUP(C3,$A$12:$F$12,$A$13:$F$13,"Error",0)</f>
        <v>0.08</v>
      </c>
      <c r="H3">
        <f>E3*_xlfn.XLOOKUP($C$2,$A$12:$F$12,$A$13:$F$13,"Error",0)</f>
        <v>5200</v>
      </c>
      <c r="I3">
        <f>SUM(E3,H3)</f>
        <v>57200</v>
      </c>
    </row>
    <row r="4" spans="1:9" ht="18" thickBot="1" x14ac:dyDescent="0.3">
      <c r="A4" s="6" t="s">
        <v>14</v>
      </c>
      <c r="B4" s="7" t="s">
        <v>15</v>
      </c>
      <c r="C4" s="7" t="s">
        <v>16</v>
      </c>
      <c r="D4" s="7" t="s">
        <v>17</v>
      </c>
      <c r="E4" s="6">
        <v>65000</v>
      </c>
      <c r="F4" s="6">
        <v>2020</v>
      </c>
      <c r="G4" s="14">
        <f t="shared" si="0"/>
        <v>0.12</v>
      </c>
      <c r="H4">
        <f>E4*_xlfn.XLOOKUP($C$2,$A$12:$F$12,$A$13:$F$13,"Error",0)</f>
        <v>6500</v>
      </c>
      <c r="I4">
        <f>SUM(E4,H4)</f>
        <v>71500</v>
      </c>
    </row>
    <row r="5" spans="1:9" ht="18" thickBot="1" x14ac:dyDescent="0.3">
      <c r="A5" s="6" t="s">
        <v>18</v>
      </c>
      <c r="B5" s="7" t="s">
        <v>19</v>
      </c>
      <c r="C5" s="7" t="s">
        <v>20</v>
      </c>
      <c r="D5" s="7" t="s">
        <v>21</v>
      </c>
      <c r="E5" s="6">
        <v>58000</v>
      </c>
      <c r="F5" s="6">
        <v>2017</v>
      </c>
      <c r="G5" s="14">
        <f t="shared" si="0"/>
        <v>0.15</v>
      </c>
      <c r="H5">
        <f>E5*_xlfn.XLOOKUP($C$2,$A$12:$F$12,$A$13:$F$13,"Error",0)</f>
        <v>5800</v>
      </c>
      <c r="I5">
        <f>SUM(E5,H5)</f>
        <v>63800</v>
      </c>
    </row>
    <row r="6" spans="1:9" ht="18" thickBot="1" x14ac:dyDescent="0.3">
      <c r="A6" s="6" t="s">
        <v>22</v>
      </c>
      <c r="B6" s="7" t="s">
        <v>23</v>
      </c>
      <c r="C6" s="7" t="s">
        <v>24</v>
      </c>
      <c r="D6" s="7" t="s">
        <v>9</v>
      </c>
      <c r="E6" s="6">
        <v>48000</v>
      </c>
      <c r="F6" s="6">
        <v>2021</v>
      </c>
      <c r="G6" s="14">
        <f t="shared" si="0"/>
        <v>0.09</v>
      </c>
      <c r="H6">
        <f>E6*_xlfn.XLOOKUP($C$2,$A$12:$F$12,$A$13:$F$13,"Error",0)</f>
        <v>4800</v>
      </c>
      <c r="I6">
        <f>SUM(E6,H6)</f>
        <v>52800</v>
      </c>
    </row>
    <row r="7" spans="1:9" ht="18" thickBot="1" x14ac:dyDescent="0.3">
      <c r="A7" s="6" t="s">
        <v>25</v>
      </c>
      <c r="B7" s="7" t="s">
        <v>26</v>
      </c>
      <c r="C7" s="7" t="s">
        <v>16</v>
      </c>
      <c r="D7" s="7" t="s">
        <v>27</v>
      </c>
      <c r="E7" s="6">
        <v>62000</v>
      </c>
      <c r="F7" s="6">
        <v>2019</v>
      </c>
      <c r="G7" s="14">
        <f t="shared" si="0"/>
        <v>0.12</v>
      </c>
      <c r="H7">
        <f>E7*_xlfn.XLOOKUP($C$2,$A$12:$F$12,$A$13:$F$13,"Error",0)</f>
        <v>6200</v>
      </c>
      <c r="I7">
        <f>SUM(E7,H7)</f>
        <v>68200</v>
      </c>
    </row>
    <row r="8" spans="1:9" ht="18" thickBot="1" x14ac:dyDescent="0.3">
      <c r="A8" s="6" t="s">
        <v>28</v>
      </c>
      <c r="B8" s="7" t="s">
        <v>29</v>
      </c>
      <c r="C8" s="7" t="s">
        <v>8</v>
      </c>
      <c r="D8" s="7" t="s">
        <v>30</v>
      </c>
      <c r="E8" s="6">
        <v>47000</v>
      </c>
      <c r="F8" s="6">
        <v>2020</v>
      </c>
      <c r="G8" s="14">
        <f t="shared" si="0"/>
        <v>0.1</v>
      </c>
      <c r="H8">
        <f>E8*_xlfn.XLOOKUP($C$2,$A$12:$F$12,$A$13:$F$13,"Error",0)</f>
        <v>4700</v>
      </c>
      <c r="I8">
        <f>SUM(E8,H8)</f>
        <v>51700</v>
      </c>
    </row>
    <row r="9" spans="1:9" ht="18" thickBot="1" x14ac:dyDescent="0.3">
      <c r="A9" s="6" t="s">
        <v>31</v>
      </c>
      <c r="B9" s="7" t="s">
        <v>32</v>
      </c>
      <c r="C9" s="7" t="s">
        <v>12</v>
      </c>
      <c r="D9" s="7" t="s">
        <v>17</v>
      </c>
      <c r="E9" s="6">
        <v>54000</v>
      </c>
      <c r="F9" s="6">
        <v>2016</v>
      </c>
      <c r="G9" s="14">
        <f t="shared" si="0"/>
        <v>0.08</v>
      </c>
      <c r="H9">
        <f>E9*_xlfn.XLOOKUP($C$2,$A$12:$F$12,$A$13:$F$13,"Error",0)</f>
        <v>5400</v>
      </c>
      <c r="I9">
        <f>SUM(E9,H9)</f>
        <v>59400</v>
      </c>
    </row>
    <row r="11" spans="1:9" ht="15.75" thickBot="1" x14ac:dyDescent="0.3"/>
    <row r="12" spans="1:9" ht="35.25" thickBot="1" x14ac:dyDescent="0.3">
      <c r="A12" s="2" t="s">
        <v>2</v>
      </c>
      <c r="B12" s="1" t="s">
        <v>8</v>
      </c>
      <c r="C12" s="1" t="s">
        <v>12</v>
      </c>
      <c r="D12" s="1" t="s">
        <v>16</v>
      </c>
      <c r="E12" s="1" t="s">
        <v>20</v>
      </c>
      <c r="F12" s="1" t="s">
        <v>24</v>
      </c>
    </row>
    <row r="13" spans="1:9" ht="18" thickBot="1" x14ac:dyDescent="0.3">
      <c r="A13" s="3" t="s">
        <v>41</v>
      </c>
      <c r="B13" s="13">
        <v>0.1</v>
      </c>
      <c r="C13" s="13">
        <v>0.08</v>
      </c>
      <c r="D13" s="13">
        <v>0.12</v>
      </c>
      <c r="E13" s="13">
        <v>0.15</v>
      </c>
      <c r="F13" s="13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Rathod</dc:creator>
  <cp:lastModifiedBy>MOHIT Rathod</cp:lastModifiedBy>
  <dcterms:created xsi:type="dcterms:W3CDTF">2015-06-05T18:17:20Z</dcterms:created>
  <dcterms:modified xsi:type="dcterms:W3CDTF">2026-07-15T03:18:36Z</dcterms:modified>
</cp:coreProperties>
</file>