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Adani ASDS\"/>
    </mc:Choice>
  </mc:AlternateContent>
  <xr:revisionPtr revIDLastSave="0" documentId="13_ncr:1_{2285B61D-21E1-4313-9F6A-F372D52E0783}" xr6:coauthVersionLast="47" xr6:coauthVersionMax="47" xr10:uidLastSave="{00000000-0000-0000-0000-000000000000}"/>
  <bookViews>
    <workbookView xWindow="-120" yWindow="-120" windowWidth="29040" windowHeight="15720" activeTab="4" xr2:uid="{B0308043-417D-4F94-9218-ADB8E2BC8B42}"/>
  </bookViews>
  <sheets>
    <sheet name="product" sheetId="1" r:id="rId1"/>
    <sheet name="customer" sheetId="2" r:id="rId2"/>
    <sheet name="store" sheetId="3" r:id="rId3"/>
    <sheet name="sales" sheetId="4" r:id="rId4"/>
    <sheet name="Dashboard" sheetId="5" r:id="rId5"/>
    <sheet name="Report" sheetId="6" r:id="rId6"/>
  </sheets>
  <definedNames>
    <definedName name="_xlcn.WorksheetConnection_IndexMatch.xlsxTable21" hidden="1">Table2[]</definedName>
    <definedName name="_xlcn.WorksheetConnection_IndexMatch.xlsxTable41" hidden="1">Table4[]</definedName>
    <definedName name="_xlcn.WorksheetConnection_IndexMatch.xlsxTable51" hidden="1">Table5[]</definedName>
    <definedName name="_xlcn.WorksheetConnection_IndexMatch.xlsxTable61" hidden="1">Table6[]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6" name="Table6" connection="WorksheetConnection_IndexMatch.xlsx!Table6"/>
          <x15:modelTable id="Table5" name="Table5" connection="WorksheetConnection_IndexMatch.xlsx!Table5"/>
          <x15:modelTable id="Table4" name="Table4" connection="WorksheetConnection_IndexMatch.xlsx!Table4"/>
          <x15:modelTable id="Table2" name="Table2" connection="WorksheetConnection_IndexMatch.xlsx!Table2"/>
        </x15:modelTables>
        <x15:modelRelationships>
          <x15:modelRelationship fromTable="Table6" fromColumn="Product ID" toTable="Table2" toColumn="Product ID"/>
          <x15:modelRelationship fromTable="Table6" fromColumn="Customer ID" toTable="Table4" toColumn="Customer ID"/>
          <x15:modelRelationship fromTable="Table6" fromColumn="Store ID" toTable="Table5" toColumn="Store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5" i="6" l="1"/>
  <c r="B12" i="6"/>
  <c r="B11" i="6"/>
  <c r="B10" i="6"/>
  <c r="B9" i="6"/>
  <c r="B8" i="6"/>
  <c r="B4" i="6"/>
  <c r="B5" i="6" s="1"/>
  <c r="M2" i="5"/>
  <c r="L2" i="5"/>
  <c r="K2" i="5"/>
  <c r="J2" i="5"/>
  <c r="I2" i="5"/>
  <c r="H2" i="5"/>
  <c r="G2" i="5"/>
  <c r="F2" i="5"/>
  <c r="E2" i="5"/>
  <c r="D2" i="5"/>
  <c r="C2" i="5"/>
  <c r="B2" i="5"/>
  <c r="M99" i="4"/>
  <c r="L99" i="4"/>
  <c r="K99" i="4"/>
  <c r="J99" i="4"/>
  <c r="M89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74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56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39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22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4" i="4"/>
  <c r="I16" i="1"/>
  <c r="H8" i="3"/>
  <c r="H6" i="3"/>
  <c r="H4" i="3"/>
  <c r="I11" i="2"/>
  <c r="I9" i="2"/>
  <c r="I7" i="2"/>
  <c r="I5" i="2"/>
  <c r="I20" i="1"/>
  <c r="I19" i="1"/>
  <c r="I18" i="1"/>
  <c r="I17" i="1"/>
  <c r="B7" i="6" l="1"/>
  <c r="B6" i="6"/>
  <c r="B13" i="6"/>
  <c r="B14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A653C4-920E-4095-B44C-1951521F3AF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3937739-D7C2-44F1-AB2F-68A04B41B506}" name="WorksheetConnection_IndexMatch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IndexMatch.xlsxTable21"/>
        </x15:connection>
      </ext>
    </extLst>
  </connection>
  <connection id="3" xr16:uid="{8753C5FC-7337-4989-94AD-D5845F31A2DC}" name="WorksheetConnection_IndexMatch.xlsx!Table4" type="102" refreshedVersion="8" minRefreshableVersion="5">
    <extLst>
      <ext xmlns:x15="http://schemas.microsoft.com/office/spreadsheetml/2010/11/main" uri="{DE250136-89BD-433C-8126-D09CA5730AF9}">
        <x15:connection id="Table4">
          <x15:rangePr sourceName="_xlcn.WorksheetConnection_IndexMatch.xlsxTable41"/>
        </x15:connection>
      </ext>
    </extLst>
  </connection>
  <connection id="4" xr16:uid="{8642D545-C083-4A90-9112-DAC142CC66B8}" name="WorksheetConnection_IndexMatch.xlsx!Table5" type="102" refreshedVersion="8" minRefreshableVersion="5">
    <extLst>
      <ext xmlns:x15="http://schemas.microsoft.com/office/spreadsheetml/2010/11/main" uri="{DE250136-89BD-433C-8126-D09CA5730AF9}">
        <x15:connection id="Table5">
          <x15:rangePr sourceName="_xlcn.WorksheetConnection_IndexMatch.xlsxTable51"/>
        </x15:connection>
      </ext>
    </extLst>
  </connection>
  <connection id="5" xr16:uid="{0B228FC3-CA81-4F97-A9AA-513180BFC3C0}" name="WorksheetConnection_IndexMatch.xlsx!Table6" type="102" refreshedVersion="8" minRefreshableVersion="5">
    <extLst>
      <ext xmlns:x15="http://schemas.microsoft.com/office/spreadsheetml/2010/11/main" uri="{DE250136-89BD-433C-8126-D09CA5730AF9}">
        <x15:connection id="Table6">
          <x15:rangePr sourceName="_xlcn.WorksheetConnection_IndexMatch.xlsxTable61"/>
        </x15:connection>
      </ext>
    </extLst>
  </connection>
</connections>
</file>

<file path=xl/sharedStrings.xml><?xml version="1.0" encoding="utf-8"?>
<sst xmlns="http://schemas.openxmlformats.org/spreadsheetml/2006/main" count="392" uniqueCount="166">
  <si>
    <t>Category</t>
  </si>
  <si>
    <t>Brand</t>
  </si>
  <si>
    <t>Price</t>
  </si>
  <si>
    <t>Stock</t>
  </si>
  <si>
    <t>P1001</t>
  </si>
  <si>
    <t>Laptop</t>
  </si>
  <si>
    <t>Electronics</t>
  </si>
  <si>
    <t>Dell</t>
  </si>
  <si>
    <t>P1002</t>
  </si>
  <si>
    <t>Smartphone</t>
  </si>
  <si>
    <t>Samsung</t>
  </si>
  <si>
    <t>P1003</t>
  </si>
  <si>
    <t>Headphones</t>
  </si>
  <si>
    <t>Sony</t>
  </si>
  <si>
    <t>P1004</t>
  </si>
  <si>
    <t>Keyboard</t>
  </si>
  <si>
    <t>Accessories</t>
  </si>
  <si>
    <t>Logitech</t>
  </si>
  <si>
    <t>P1005</t>
  </si>
  <si>
    <t>Mouse</t>
  </si>
  <si>
    <t>HP</t>
  </si>
  <si>
    <t>P1006</t>
  </si>
  <si>
    <t>Printer</t>
  </si>
  <si>
    <t>Canon</t>
  </si>
  <si>
    <t>P1007</t>
  </si>
  <si>
    <t>Furniture</t>
  </si>
  <si>
    <t>P1008</t>
  </si>
  <si>
    <t>IKEA</t>
  </si>
  <si>
    <t>P1009</t>
  </si>
  <si>
    <t>Monitor</t>
  </si>
  <si>
    <t>LG</t>
  </si>
  <si>
    <t>P1010</t>
  </si>
  <si>
    <t>Webcam</t>
  </si>
  <si>
    <t>Office Chair</t>
  </si>
  <si>
    <t>Office Desk</t>
  </si>
  <si>
    <t>Green Soul</t>
  </si>
  <si>
    <t>Product Name</t>
  </si>
  <si>
    <t>Product ID</t>
  </si>
  <si>
    <t>Customer ID</t>
  </si>
  <si>
    <t>Customer Name</t>
  </si>
  <si>
    <t>City</t>
  </si>
  <si>
    <t>State</t>
  </si>
  <si>
    <t>Gender</t>
  </si>
  <si>
    <t>C001</t>
  </si>
  <si>
    <t>Amit Patel</t>
  </si>
  <si>
    <t>Ahmedabad</t>
  </si>
  <si>
    <t>Gujarat</t>
  </si>
  <si>
    <t>Male</t>
  </si>
  <si>
    <t>C002</t>
  </si>
  <si>
    <t>Priya Shah</t>
  </si>
  <si>
    <t>Surat</t>
  </si>
  <si>
    <t>Female</t>
  </si>
  <si>
    <t>C003</t>
  </si>
  <si>
    <t>Rahul Mehta</t>
  </si>
  <si>
    <t>Mumbai</t>
  </si>
  <si>
    <t>Maharashtra</t>
  </si>
  <si>
    <t>C004</t>
  </si>
  <si>
    <t>Sneha Joshi</t>
  </si>
  <si>
    <t>Pune</t>
  </si>
  <si>
    <t>C005</t>
  </si>
  <si>
    <t>Arjun Singh</t>
  </si>
  <si>
    <t>Jaipur</t>
  </si>
  <si>
    <t>Rajasthan</t>
  </si>
  <si>
    <t>C006</t>
  </si>
  <si>
    <t>Neha Verma</t>
  </si>
  <si>
    <t>Delhi</t>
  </si>
  <si>
    <t>C007</t>
  </si>
  <si>
    <t>Rohan Gupta</t>
  </si>
  <si>
    <t>Indore</t>
  </si>
  <si>
    <t>Madhya Pradesh</t>
  </si>
  <si>
    <t>C008</t>
  </si>
  <si>
    <t>Pooja Sharma</t>
  </si>
  <si>
    <t>Lucknow</t>
  </si>
  <si>
    <t>Uttar Pradesh</t>
  </si>
  <si>
    <t>C009</t>
  </si>
  <si>
    <t>Karan Desai</t>
  </si>
  <si>
    <t>Vadodara</t>
  </si>
  <si>
    <t>C010</t>
  </si>
  <si>
    <t>Anjali Nair</t>
  </si>
  <si>
    <t>Kochi</t>
  </si>
  <si>
    <t>Kerala</t>
  </si>
  <si>
    <t>Task 1</t>
  </si>
  <si>
    <t>Task 2</t>
  </si>
  <si>
    <t>Task 3</t>
  </si>
  <si>
    <t>Task 4</t>
  </si>
  <si>
    <t>Task 5</t>
  </si>
  <si>
    <t>Task 6</t>
  </si>
  <si>
    <t>Find the Customer Name for C007.</t>
  </si>
  <si>
    <t>Task 7</t>
  </si>
  <si>
    <t>Task 8</t>
  </si>
  <si>
    <t>Task 9</t>
  </si>
  <si>
    <t>Find the City for C010.</t>
  </si>
  <si>
    <t>Find the State for C003.</t>
  </si>
  <si>
    <t>Find the Gender for C006.</t>
  </si>
  <si>
    <t>Store ID</t>
  </si>
  <si>
    <t>Store Name</t>
  </si>
  <si>
    <t>S001</t>
  </si>
  <si>
    <t>Alpha Store</t>
  </si>
  <si>
    <t>S002</t>
  </si>
  <si>
    <t>Beta Store</t>
  </si>
  <si>
    <t>S003</t>
  </si>
  <si>
    <t>Central Store</t>
  </si>
  <si>
    <t>S004</t>
  </si>
  <si>
    <t>Digital Hub</t>
  </si>
  <si>
    <t>S005</t>
  </si>
  <si>
    <t>Smart World</t>
  </si>
  <si>
    <t>Task 10</t>
  </si>
  <si>
    <t>Task 11</t>
  </si>
  <si>
    <t>Task 12</t>
  </si>
  <si>
    <t>Find the Store Name for S003.</t>
  </si>
  <si>
    <t>Find the Store City for S005.</t>
  </si>
  <si>
    <t>Find the Store State for S002</t>
  </si>
  <si>
    <t>Sale ID</t>
  </si>
  <si>
    <t>Quantity</t>
  </si>
  <si>
    <t>Date</t>
  </si>
  <si>
    <t>SA001</t>
  </si>
  <si>
    <t>SA002</t>
  </si>
  <si>
    <t>SA003</t>
  </si>
  <si>
    <t>SA004</t>
  </si>
  <si>
    <t>SA005</t>
  </si>
  <si>
    <t>SA006</t>
  </si>
  <si>
    <t>SA007</t>
  </si>
  <si>
    <t>SA008</t>
  </si>
  <si>
    <t>SA009</t>
  </si>
  <si>
    <t>SA010</t>
  </si>
  <si>
    <t>SA011</t>
  </si>
  <si>
    <t>SA012</t>
  </si>
  <si>
    <t>SA013</t>
  </si>
  <si>
    <t>SA014</t>
  </si>
  <si>
    <t>SA015</t>
  </si>
  <si>
    <t>Task 13</t>
  </si>
  <si>
    <t>Retrieve the Product Name for every Product ID in the Sales sheet.</t>
  </si>
  <si>
    <t>Task 14</t>
  </si>
  <si>
    <t>Retrieve the Customer Name for every Customer ID in the Sales sheet.</t>
  </si>
  <si>
    <t>Task 15</t>
  </si>
  <si>
    <t>Retrieve the Store Name for every Store ID in the Sales sheet.</t>
  </si>
  <si>
    <t>Task 16</t>
  </si>
  <si>
    <t>Retrieve the Product Price for every Product ID in the Sales sheet.</t>
  </si>
  <si>
    <t>Task 17</t>
  </si>
  <si>
    <t>Create a Total Sales column.</t>
  </si>
  <si>
    <t>Total</t>
  </si>
  <si>
    <t>Task 19</t>
  </si>
  <si>
    <t>Create a Dynamic Product Search.</t>
  </si>
  <si>
    <t>Input: Product ID</t>
  </si>
  <si>
    <t>Output: - Product Name - Category - Brand - Price - Stock</t>
  </si>
  <si>
    <t>Task 20</t>
  </si>
  <si>
    <t>Create a Transaction Dashboard.</t>
  </si>
  <si>
    <t>Input: Sale ID</t>
  </si>
  <si>
    <t>Display: - Product Name - Category - Brand - Customer Name - Customer City - Store Name - Store City - Quantity - Product Price - Total Sales - Date</t>
  </si>
  <si>
    <t>Sales ID</t>
  </si>
  <si>
    <t xml:space="preserve">Product Name </t>
  </si>
  <si>
    <t xml:space="preserve"> Category </t>
  </si>
  <si>
    <t xml:space="preserve"> Brand </t>
  </si>
  <si>
    <t xml:space="preserve"> Customer Name </t>
  </si>
  <si>
    <t xml:space="preserve"> Customer City </t>
  </si>
  <si>
    <t xml:space="preserve"> Store Name </t>
  </si>
  <si>
    <t xml:space="preserve"> Store City </t>
  </si>
  <si>
    <t xml:space="preserve"> Quantity </t>
  </si>
  <si>
    <t xml:space="preserve"> Product Price </t>
  </si>
  <si>
    <t xml:space="preserve"> Total Sales </t>
  </si>
  <si>
    <t xml:space="preserve"> Date</t>
  </si>
  <si>
    <t>Transaction Report</t>
  </si>
  <si>
    <t>Customer City</t>
  </si>
  <si>
    <t>Store City</t>
  </si>
  <si>
    <t>Product Price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</si>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</sst>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&quot;$&quot;#,##0"/>
    <numFmt numFmtId="168" formatCode="dd/mmm/yyyy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  <font>
      <b/>
      <sz val="11"/>
      <color rgb="FF7F6000"/>
      <name val="Calibri"/>
      <family val="2"/>
      <scheme val="minor"/>
    </font>
    <font>
      <sz val="11"/>
      <color rgb="FF1F1F1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DFEFE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0" borderId="10" xfId="0" applyBorder="1"/>
    <xf numFmtId="0" fontId="0" fillId="0" borderId="11" xfId="0" applyBorder="1"/>
    <xf numFmtId="15" fontId="0" fillId="0" borderId="0" xfId="0" applyNumberFormat="1"/>
    <xf numFmtId="0" fontId="0" fillId="2" borderId="12" xfId="0" applyFill="1" applyBorder="1"/>
    <xf numFmtId="0" fontId="0" fillId="0" borderId="12" xfId="0" applyBorder="1"/>
    <xf numFmtId="0" fontId="0" fillId="2" borderId="13" xfId="0" applyFill="1" applyBorder="1"/>
    <xf numFmtId="0" fontId="0" fillId="0" borderId="0" xfId="0" applyAlignment="1">
      <alignment wrapText="1"/>
    </xf>
    <xf numFmtId="14" fontId="0" fillId="0" borderId="0" xfId="0" applyNumberFormat="1"/>
    <xf numFmtId="0" fontId="0" fillId="6" borderId="0" xfId="0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3" fillId="7" borderId="14" xfId="0" applyFont="1" applyFill="1" applyBorder="1" applyAlignment="1">
      <alignment vertical="center"/>
    </xf>
    <xf numFmtId="0" fontId="5" fillId="8" borderId="14" xfId="0" applyFont="1" applyFill="1" applyBorder="1" applyAlignment="1">
      <alignment vertical="center"/>
    </xf>
    <xf numFmtId="166" fontId="5" fillId="8" borderId="14" xfId="0" applyNumberFormat="1" applyFont="1" applyFill="1" applyBorder="1" applyAlignment="1">
      <alignment vertical="center"/>
    </xf>
    <xf numFmtId="168" fontId="5" fillId="8" borderId="14" xfId="0" applyNumberFormat="1" applyFont="1" applyFill="1" applyBorder="1" applyAlignment="1">
      <alignment vertical="center"/>
    </xf>
  </cellXfs>
  <cellStyles count="1">
    <cellStyle name="Normal" xfId="0" builtinId="0"/>
  </cellStyles>
  <dxfs count="11">
    <dxf>
      <numFmt numFmtId="20" formatCode="dd/mmm/yy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18" Type="http://schemas.openxmlformats.org/officeDocument/2006/relationships/customXml" Target="../customXml/item6.xml"/><Relationship Id="rId26" Type="http://schemas.openxmlformats.org/officeDocument/2006/relationships/customXml" Target="../customXml/item14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9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17" Type="http://schemas.openxmlformats.org/officeDocument/2006/relationships/customXml" Target="../customXml/item5.xml"/><Relationship Id="rId25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20" Type="http://schemas.openxmlformats.org/officeDocument/2006/relationships/customXml" Target="../customXml/item8.xml"/><Relationship Id="rId29" Type="http://schemas.openxmlformats.org/officeDocument/2006/relationships/customXml" Target="../customXml/item1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2.xml"/><Relationship Id="rId32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23" Type="http://schemas.openxmlformats.org/officeDocument/2006/relationships/customXml" Target="../customXml/item11.xml"/><Relationship Id="rId28" Type="http://schemas.openxmlformats.org/officeDocument/2006/relationships/customXml" Target="../customXml/item16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7.xml"/><Relationship Id="rId31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Relationship Id="rId22" Type="http://schemas.openxmlformats.org/officeDocument/2006/relationships/customXml" Target="../customXml/item10.xml"/><Relationship Id="rId27" Type="http://schemas.openxmlformats.org/officeDocument/2006/relationships/customXml" Target="../customXml/item15.xml"/><Relationship Id="rId30" Type="http://schemas.openxmlformats.org/officeDocument/2006/relationships/customXml" Target="../customXml/item1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453094-08C3-4869-B36A-26DA826E9566}" name="Table2" displayName="Table2" ref="A1:F11" totalsRowShown="0" headerRowDxfId="10" headerRowBorderDxfId="9" tableBorderDxfId="8" totalsRowBorderDxfId="7">
  <autoFilter ref="A1:F11" xr:uid="{04453094-08C3-4869-B36A-26DA826E9566}"/>
  <tableColumns count="6">
    <tableColumn id="1" xr3:uid="{A65CB3EA-3BC8-4075-A9D1-2BAF142271E6}" name="Product ID" dataDxfId="6"/>
    <tableColumn id="2" xr3:uid="{2A2B86A4-805D-43AB-AD6E-3D8F4DA49E04}" name="Product Name" dataDxfId="5"/>
    <tableColumn id="3" xr3:uid="{E9F41402-8F67-484D-B588-E5CC2C84D24B}" name="Category" dataDxfId="4"/>
    <tableColumn id="4" xr3:uid="{4916BBDC-6AA0-4E86-8184-B55E24B7AC18}" name="Brand" dataDxfId="3"/>
    <tableColumn id="5" xr3:uid="{DD187BD8-4B17-4EAB-A768-3B443B646187}" name="Price" dataDxfId="2"/>
    <tableColumn id="6" xr3:uid="{5EC95465-A89F-48C1-AC5A-D68C6879C23D}" name="Stock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6339EE4-76D0-4D7A-AF63-F2791BE7400C}" name="Table4" displayName="Table4" ref="A1:E11" totalsRowShown="0">
  <autoFilter ref="A1:E11" xr:uid="{46339EE4-76D0-4D7A-AF63-F2791BE7400C}"/>
  <tableColumns count="5">
    <tableColumn id="1" xr3:uid="{88A7AB8F-C9BA-424C-BDBF-9D58614294B8}" name="Customer ID"/>
    <tableColumn id="2" xr3:uid="{604282A9-5CF5-4E7E-9F18-5BD77FB09970}" name="Customer Name"/>
    <tableColumn id="3" xr3:uid="{6A6E71E8-FFC3-4455-8121-A05708A6AC66}" name="City"/>
    <tableColumn id="4" xr3:uid="{3E13BEA0-6F19-4448-A239-7641418A0EAF}" name="State"/>
    <tableColumn id="5" xr3:uid="{4E46BF22-B6F7-4F4B-B91B-4CE3A583565D}" name="Gend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53EBA1C-A365-4563-A380-7BF40294C702}" name="Table5" displayName="Table5" ref="A1:D6" totalsRowShown="0">
  <autoFilter ref="A1:D6" xr:uid="{453EBA1C-A365-4563-A380-7BF40294C702}"/>
  <tableColumns count="4">
    <tableColumn id="1" xr3:uid="{B627783B-CA93-4F32-980C-F9F54C8A8EB5}" name="Store ID"/>
    <tableColumn id="2" xr3:uid="{E6424BE1-69E3-4BDF-AEDF-62E8BE515D11}" name="Store Name"/>
    <tableColumn id="3" xr3:uid="{A939DD27-4BAB-423C-86BC-021F4B225422}" name="City"/>
    <tableColumn id="4" xr3:uid="{D4113AF3-8927-43FD-8DAD-ED0A65A5A5D7}" name="St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D4A5D2-31C4-4AC2-938B-DC9D32927B1A}" name="Table6" displayName="Table6" ref="A1:F16" totalsRowShown="0">
  <autoFilter ref="A1:F16" xr:uid="{C7D4A5D2-31C4-4AC2-938B-DC9D32927B1A}"/>
  <tableColumns count="6">
    <tableColumn id="1" xr3:uid="{ED973257-9B07-4AA0-A565-F3D6661509EA}" name="Sale ID"/>
    <tableColumn id="2" xr3:uid="{56451A33-8565-4BDD-979A-06B2F1FF0D4B}" name="Product ID"/>
    <tableColumn id="3" xr3:uid="{2BC90515-04FB-4CB9-ADCD-A5A4C4D5895D}" name="Customer ID"/>
    <tableColumn id="4" xr3:uid="{F46C7366-2896-48B6-96A9-66AC06162AF4}" name="Quantity"/>
    <tableColumn id="5" xr3:uid="{971ED40D-90DA-4569-9138-38F6948CFE3F}" name="Date" dataDxfId="0"/>
    <tableColumn id="6" xr3:uid="{5DE5BD4E-5373-4CD9-BD5B-10EB27A60FD0}" name="Store 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3379FF-A6C5-43C3-8278-A6EE0A97922D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EORWMdl90MqBMDZO5IonI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E199F-4AC9-48B3-8A6F-E7350B0A431D}">
  <dimension ref="A1:I20"/>
  <sheetViews>
    <sheetView workbookViewId="0">
      <selection activeCell="I16" sqref="I16"/>
    </sheetView>
  </sheetViews>
  <sheetFormatPr defaultRowHeight="15" x14ac:dyDescent="0.25"/>
  <cols>
    <col min="1" max="1" width="12.28515625" customWidth="1"/>
    <col min="2" max="2" width="15.7109375" customWidth="1"/>
    <col min="3" max="3" width="11.28515625" bestFit="1" customWidth="1"/>
    <col min="4" max="4" width="10.7109375" bestFit="1" customWidth="1"/>
    <col min="5" max="5" width="7.5703125" customWidth="1"/>
    <col min="6" max="6" width="7.85546875" customWidth="1"/>
    <col min="8" max="8" width="6.140625" bestFit="1" customWidth="1"/>
    <col min="9" max="9" width="11.28515625" bestFit="1" customWidth="1"/>
  </cols>
  <sheetData>
    <row r="1" spans="1:9" x14ac:dyDescent="0.25">
      <c r="A1" s="1" t="s">
        <v>37</v>
      </c>
      <c r="B1" s="2" t="s">
        <v>36</v>
      </c>
      <c r="C1" s="2" t="s">
        <v>0</v>
      </c>
      <c r="D1" s="2" t="s">
        <v>1</v>
      </c>
      <c r="E1" s="2" t="s">
        <v>2</v>
      </c>
      <c r="F1" s="3" t="s">
        <v>3</v>
      </c>
    </row>
    <row r="2" spans="1:9" x14ac:dyDescent="0.25">
      <c r="A2" s="4" t="s">
        <v>4</v>
      </c>
      <c r="B2" s="5" t="s">
        <v>5</v>
      </c>
      <c r="C2" s="5" t="s">
        <v>6</v>
      </c>
      <c r="D2" s="5" t="s">
        <v>7</v>
      </c>
      <c r="E2" s="5">
        <v>55000</v>
      </c>
      <c r="F2" s="6">
        <v>25</v>
      </c>
    </row>
    <row r="3" spans="1:9" x14ac:dyDescent="0.25">
      <c r="A3" s="4" t="s">
        <v>8</v>
      </c>
      <c r="B3" s="5" t="s">
        <v>9</v>
      </c>
      <c r="C3" s="5" t="s">
        <v>6</v>
      </c>
      <c r="D3" s="5" t="s">
        <v>10</v>
      </c>
      <c r="E3" s="5">
        <v>32000</v>
      </c>
      <c r="F3" s="6">
        <v>40</v>
      </c>
    </row>
    <row r="4" spans="1:9" x14ac:dyDescent="0.25">
      <c r="A4" s="4" t="s">
        <v>11</v>
      </c>
      <c r="B4" s="5" t="s">
        <v>12</v>
      </c>
      <c r="C4" s="5" t="s">
        <v>6</v>
      </c>
      <c r="D4" s="5" t="s">
        <v>13</v>
      </c>
      <c r="E4" s="5">
        <v>4500</v>
      </c>
      <c r="F4" s="6">
        <v>80</v>
      </c>
    </row>
    <row r="5" spans="1:9" x14ac:dyDescent="0.25">
      <c r="A5" s="4" t="s">
        <v>14</v>
      </c>
      <c r="B5" s="5" t="s">
        <v>15</v>
      </c>
      <c r="C5" s="5" t="s">
        <v>16</v>
      </c>
      <c r="D5" s="5" t="s">
        <v>17</v>
      </c>
      <c r="E5" s="5">
        <v>1800</v>
      </c>
      <c r="F5" s="6">
        <v>65</v>
      </c>
    </row>
    <row r="6" spans="1:9" x14ac:dyDescent="0.25">
      <c r="A6" s="4" t="s">
        <v>18</v>
      </c>
      <c r="B6" s="5" t="s">
        <v>19</v>
      </c>
      <c r="C6" s="5" t="s">
        <v>16</v>
      </c>
      <c r="D6" s="5" t="s">
        <v>20</v>
      </c>
      <c r="E6" s="5">
        <v>900</v>
      </c>
      <c r="F6" s="6">
        <v>120</v>
      </c>
    </row>
    <row r="7" spans="1:9" x14ac:dyDescent="0.25">
      <c r="A7" s="4" t="s">
        <v>21</v>
      </c>
      <c r="B7" s="5" t="s">
        <v>22</v>
      </c>
      <c r="C7" s="5" t="s">
        <v>6</v>
      </c>
      <c r="D7" s="5" t="s">
        <v>23</v>
      </c>
      <c r="E7" s="5">
        <v>12500</v>
      </c>
      <c r="F7" s="6">
        <v>18</v>
      </c>
    </row>
    <row r="8" spans="1:9" x14ac:dyDescent="0.25">
      <c r="A8" s="4" t="s">
        <v>24</v>
      </c>
      <c r="B8" s="5" t="s">
        <v>33</v>
      </c>
      <c r="C8" s="5" t="s">
        <v>25</v>
      </c>
      <c r="D8" s="5" t="s">
        <v>35</v>
      </c>
      <c r="E8" s="5">
        <v>8500</v>
      </c>
      <c r="F8" s="6">
        <v>20</v>
      </c>
    </row>
    <row r="9" spans="1:9" x14ac:dyDescent="0.25">
      <c r="A9" s="4" t="s">
        <v>26</v>
      </c>
      <c r="B9" s="5" t="s">
        <v>34</v>
      </c>
      <c r="C9" s="5" t="s">
        <v>25</v>
      </c>
      <c r="D9" s="5" t="s">
        <v>27</v>
      </c>
      <c r="E9" s="5">
        <v>12000</v>
      </c>
      <c r="F9" s="6">
        <v>15</v>
      </c>
    </row>
    <row r="10" spans="1:9" x14ac:dyDescent="0.25">
      <c r="A10" s="4" t="s">
        <v>28</v>
      </c>
      <c r="B10" s="5" t="s">
        <v>29</v>
      </c>
      <c r="C10" s="5" t="s">
        <v>6</v>
      </c>
      <c r="D10" s="5" t="s">
        <v>30</v>
      </c>
      <c r="E10" s="5">
        <v>16000</v>
      </c>
      <c r="F10" s="6">
        <v>30</v>
      </c>
    </row>
    <row r="11" spans="1:9" x14ac:dyDescent="0.25">
      <c r="A11" s="7" t="s">
        <v>31</v>
      </c>
      <c r="B11" s="8" t="s">
        <v>32</v>
      </c>
      <c r="C11" s="8" t="s">
        <v>16</v>
      </c>
      <c r="D11" s="8" t="s">
        <v>17</v>
      </c>
      <c r="E11" s="8">
        <v>3500</v>
      </c>
      <c r="F11" s="9">
        <v>50</v>
      </c>
    </row>
    <row r="16" spans="1:9" x14ac:dyDescent="0.25">
      <c r="G16" s="5" t="s">
        <v>81</v>
      </c>
      <c r="H16" s="5" t="s">
        <v>21</v>
      </c>
      <c r="I16" s="5" t="str">
        <f>INDEX(Table2[#All],MATCH(H16,Table2[[#All],[Product ID]]),2)</f>
        <v>Printer</v>
      </c>
    </row>
    <row r="17" spans="7:9" x14ac:dyDescent="0.25">
      <c r="G17" s="5" t="s">
        <v>82</v>
      </c>
      <c r="H17" s="5" t="s">
        <v>26</v>
      </c>
      <c r="I17" s="5">
        <f>INDEX(Table2[#All],MATCH(H17,Table2[[#All],[Product ID]]),5)</f>
        <v>12000</v>
      </c>
    </row>
    <row r="18" spans="7:9" x14ac:dyDescent="0.25">
      <c r="G18" s="5" t="s">
        <v>83</v>
      </c>
      <c r="H18" s="5" t="s">
        <v>11</v>
      </c>
      <c r="I18" s="5" t="str">
        <f>INDEX(Table2[#All],MATCH(H18,Table2[[#All],[Product ID]]),4)</f>
        <v>Sony</v>
      </c>
    </row>
    <row r="19" spans="7:9" x14ac:dyDescent="0.25">
      <c r="G19" s="5" t="s">
        <v>84</v>
      </c>
      <c r="H19" s="5" t="s">
        <v>18</v>
      </c>
      <c r="I19" s="5">
        <f>INDEX(Table2[#All],MATCH(H19,Table2[[#All],[Product ID]]),6)</f>
        <v>120</v>
      </c>
    </row>
    <row r="20" spans="7:9" x14ac:dyDescent="0.25">
      <c r="G20" s="5" t="s">
        <v>85</v>
      </c>
      <c r="H20" s="5" t="s">
        <v>14</v>
      </c>
      <c r="I20" s="5" t="str">
        <f>INDEX(Table2[#All],MATCH(H20,Table2[[#All],[Product ID]]),3)</f>
        <v>Accessories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08332-C60F-4B56-AD42-92C3B15D2008}">
  <dimension ref="A1:I11"/>
  <sheetViews>
    <sheetView workbookViewId="0">
      <selection activeCell="C9" sqref="A1:E11"/>
    </sheetView>
  </sheetViews>
  <sheetFormatPr defaultRowHeight="15" x14ac:dyDescent="0.25"/>
  <cols>
    <col min="1" max="1" width="14" customWidth="1"/>
    <col min="2" max="2" width="17.42578125" customWidth="1"/>
    <col min="3" max="3" width="11.7109375" bestFit="1" customWidth="1"/>
    <col min="4" max="4" width="15.7109375" bestFit="1" customWidth="1"/>
    <col min="5" max="5" width="9.7109375" customWidth="1"/>
    <col min="7" max="7" width="31.85546875" bestFit="1" customWidth="1"/>
    <col min="9" max="9" width="12.28515625" bestFit="1" customWidth="1"/>
  </cols>
  <sheetData>
    <row r="1" spans="1:9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</row>
    <row r="2" spans="1:9" x14ac:dyDescent="0.2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9" x14ac:dyDescent="0.25">
      <c r="A3" t="s">
        <v>48</v>
      </c>
      <c r="B3" t="s">
        <v>49</v>
      </c>
      <c r="C3" t="s">
        <v>50</v>
      </c>
      <c r="D3" t="s">
        <v>46</v>
      </c>
      <c r="E3" t="s">
        <v>51</v>
      </c>
    </row>
    <row r="4" spans="1:9" x14ac:dyDescent="0.25">
      <c r="A4" t="s">
        <v>52</v>
      </c>
      <c r="B4" t="s">
        <v>53</v>
      </c>
      <c r="C4" t="s">
        <v>54</v>
      </c>
      <c r="D4" t="s">
        <v>55</v>
      </c>
      <c r="E4" t="s">
        <v>47</v>
      </c>
      <c r="G4" t="s">
        <v>86</v>
      </c>
    </row>
    <row r="5" spans="1:9" x14ac:dyDescent="0.25">
      <c r="A5" t="s">
        <v>56</v>
      </c>
      <c r="B5" t="s">
        <v>57</v>
      </c>
      <c r="C5" t="s">
        <v>58</v>
      </c>
      <c r="D5" t="s">
        <v>55</v>
      </c>
      <c r="E5" t="s">
        <v>51</v>
      </c>
      <c r="G5" t="s">
        <v>87</v>
      </c>
      <c r="H5" t="s">
        <v>66</v>
      </c>
      <c r="I5" t="str">
        <f>INDEX(Table4[#All],MATCH(H5,Table4[[#All],[Customer ID]]),2)</f>
        <v>Rohan Gupta</v>
      </c>
    </row>
    <row r="6" spans="1:9" x14ac:dyDescent="0.25">
      <c r="A6" t="s">
        <v>59</v>
      </c>
      <c r="B6" t="s">
        <v>60</v>
      </c>
      <c r="C6" t="s">
        <v>61</v>
      </c>
      <c r="D6" t="s">
        <v>62</v>
      </c>
      <c r="E6" t="s">
        <v>47</v>
      </c>
      <c r="G6" t="s">
        <v>88</v>
      </c>
    </row>
    <row r="7" spans="1:9" x14ac:dyDescent="0.25">
      <c r="A7" t="s">
        <v>63</v>
      </c>
      <c r="B7" t="s">
        <v>64</v>
      </c>
      <c r="C7" t="s">
        <v>65</v>
      </c>
      <c r="D7" t="s">
        <v>65</v>
      </c>
      <c r="E7" t="s">
        <v>51</v>
      </c>
      <c r="G7" t="s">
        <v>91</v>
      </c>
      <c r="H7" t="s">
        <v>77</v>
      </c>
      <c r="I7" t="str">
        <f>INDEX(Table4[#All],MATCH(H7,Table4[[#All],[Customer ID]]),3)</f>
        <v>Kochi</v>
      </c>
    </row>
    <row r="8" spans="1:9" x14ac:dyDescent="0.25">
      <c r="A8" t="s">
        <v>66</v>
      </c>
      <c r="B8" t="s">
        <v>67</v>
      </c>
      <c r="C8" t="s">
        <v>68</v>
      </c>
      <c r="D8" t="s">
        <v>69</v>
      </c>
      <c r="E8" t="s">
        <v>47</v>
      </c>
      <c r="G8" t="s">
        <v>89</v>
      </c>
    </row>
    <row r="9" spans="1:9" x14ac:dyDescent="0.25">
      <c r="A9" t="s">
        <v>70</v>
      </c>
      <c r="B9" t="s">
        <v>71</v>
      </c>
      <c r="C9" t="s">
        <v>72</v>
      </c>
      <c r="D9" t="s">
        <v>73</v>
      </c>
      <c r="E9" t="s">
        <v>51</v>
      </c>
      <c r="G9" t="s">
        <v>92</v>
      </c>
      <c r="H9" t="s">
        <v>52</v>
      </c>
      <c r="I9" t="str">
        <f>INDEX(Table4[#All],MATCH(H9,Table4[[#All],[Customer ID]]),4)</f>
        <v>Maharashtra</v>
      </c>
    </row>
    <row r="10" spans="1:9" x14ac:dyDescent="0.25">
      <c r="A10" t="s">
        <v>74</v>
      </c>
      <c r="B10" t="s">
        <v>75</v>
      </c>
      <c r="C10" t="s">
        <v>76</v>
      </c>
      <c r="D10" t="s">
        <v>46</v>
      </c>
      <c r="E10" t="s">
        <v>47</v>
      </c>
      <c r="G10" t="s">
        <v>90</v>
      </c>
    </row>
    <row r="11" spans="1:9" x14ac:dyDescent="0.25">
      <c r="A11" t="s">
        <v>77</v>
      </c>
      <c r="B11" t="s">
        <v>78</v>
      </c>
      <c r="C11" t="s">
        <v>79</v>
      </c>
      <c r="D11" t="s">
        <v>80</v>
      </c>
      <c r="E11" t="s">
        <v>51</v>
      </c>
      <c r="G11" t="s">
        <v>93</v>
      </c>
      <c r="H11" t="s">
        <v>63</v>
      </c>
      <c r="I11" t="str">
        <f>INDEX(Table4[#All],MATCH(H11,Table4[[#All],[Customer ID]]),5)</f>
        <v>Female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23A88-9466-48B9-87F8-8CE9122E4907}">
  <dimension ref="A1:H8"/>
  <sheetViews>
    <sheetView workbookViewId="0">
      <selection activeCell="C6" sqref="A1:D6"/>
    </sheetView>
  </sheetViews>
  <sheetFormatPr defaultRowHeight="15" x14ac:dyDescent="0.25"/>
  <cols>
    <col min="1" max="1" width="10.140625" customWidth="1"/>
    <col min="2" max="2" width="13.5703125" customWidth="1"/>
    <col min="3" max="3" width="11.7109375" bestFit="1" customWidth="1"/>
    <col min="4" max="4" width="12" bestFit="1" customWidth="1"/>
    <col min="6" max="6" width="27.7109375" bestFit="1" customWidth="1"/>
  </cols>
  <sheetData>
    <row r="1" spans="1:8" x14ac:dyDescent="0.25">
      <c r="A1" t="s">
        <v>94</v>
      </c>
      <c r="B1" t="s">
        <v>95</v>
      </c>
      <c r="C1" t="s">
        <v>40</v>
      </c>
      <c r="D1" t="s">
        <v>41</v>
      </c>
    </row>
    <row r="2" spans="1:8" x14ac:dyDescent="0.25">
      <c r="A2" t="s">
        <v>96</v>
      </c>
      <c r="B2" t="s">
        <v>97</v>
      </c>
      <c r="C2" t="s">
        <v>45</v>
      </c>
      <c r="D2" t="s">
        <v>46</v>
      </c>
    </row>
    <row r="3" spans="1:8" x14ac:dyDescent="0.25">
      <c r="A3" t="s">
        <v>98</v>
      </c>
      <c r="B3" t="s">
        <v>99</v>
      </c>
      <c r="C3" t="s">
        <v>50</v>
      </c>
      <c r="D3" t="s">
        <v>46</v>
      </c>
      <c r="F3" t="s">
        <v>106</v>
      </c>
    </row>
    <row r="4" spans="1:8" x14ac:dyDescent="0.25">
      <c r="A4" t="s">
        <v>100</v>
      </c>
      <c r="B4" t="s">
        <v>101</v>
      </c>
      <c r="C4" t="s">
        <v>54</v>
      </c>
      <c r="D4" t="s">
        <v>55</v>
      </c>
      <c r="F4" t="s">
        <v>109</v>
      </c>
      <c r="G4" t="s">
        <v>100</v>
      </c>
      <c r="H4" t="str">
        <f>INDEX(Table5[#All],MATCH(G4,Table5[[#All],[Store ID]]),2)</f>
        <v>Central Store</v>
      </c>
    </row>
    <row r="5" spans="1:8" x14ac:dyDescent="0.25">
      <c r="A5" t="s">
        <v>102</v>
      </c>
      <c r="B5" t="s">
        <v>103</v>
      </c>
      <c r="C5" t="s">
        <v>58</v>
      </c>
      <c r="D5" t="s">
        <v>55</v>
      </c>
      <c r="F5" t="s">
        <v>107</v>
      </c>
    </row>
    <row r="6" spans="1:8" x14ac:dyDescent="0.25">
      <c r="A6" t="s">
        <v>104</v>
      </c>
      <c r="B6" t="s">
        <v>105</v>
      </c>
      <c r="C6" t="s">
        <v>61</v>
      </c>
      <c r="D6" t="s">
        <v>62</v>
      </c>
      <c r="F6" t="s">
        <v>110</v>
      </c>
      <c r="G6" t="s">
        <v>104</v>
      </c>
      <c r="H6" t="str">
        <f>INDEX(Table5[#All],MATCH(G6,Table5[[#All],[Store ID]]),3)</f>
        <v>Jaipur</v>
      </c>
    </row>
    <row r="7" spans="1:8" x14ac:dyDescent="0.25">
      <c r="F7" t="s">
        <v>108</v>
      </c>
    </row>
    <row r="8" spans="1:8" x14ac:dyDescent="0.25">
      <c r="F8" t="s">
        <v>111</v>
      </c>
      <c r="G8" t="s">
        <v>98</v>
      </c>
      <c r="H8" t="str">
        <f>INDEX(Table5[#All],MATCH(G8,Table5[[#All],[Store ID]]),4)</f>
        <v>Gujarat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7F5C-D549-4B98-8BAB-7F6F955CBA65}">
  <dimension ref="A1:M107"/>
  <sheetViews>
    <sheetView workbookViewId="0">
      <selection activeCell="I108" sqref="I108"/>
    </sheetView>
  </sheetViews>
  <sheetFormatPr defaultRowHeight="15" x14ac:dyDescent="0.25"/>
  <cols>
    <col min="1" max="1" width="9.140625" customWidth="1"/>
    <col min="2" max="2" width="12.28515625" customWidth="1"/>
    <col min="3" max="3" width="14" customWidth="1"/>
    <col min="4" max="4" width="10.85546875" customWidth="1"/>
    <col min="5" max="5" width="10.28515625" bestFit="1" customWidth="1"/>
    <col min="6" max="6" width="10.140625" customWidth="1"/>
    <col min="8" max="8" width="64.85546875" bestFit="1" customWidth="1"/>
    <col min="9" max="9" width="11" customWidth="1"/>
    <col min="10" max="10" width="13.140625" bestFit="1" customWidth="1"/>
    <col min="11" max="11" width="14.85546875" customWidth="1"/>
  </cols>
  <sheetData>
    <row r="1" spans="1:11" x14ac:dyDescent="0.25">
      <c r="A1" t="s">
        <v>112</v>
      </c>
      <c r="B1" t="s">
        <v>37</v>
      </c>
      <c r="C1" t="s">
        <v>38</v>
      </c>
      <c r="D1" t="s">
        <v>113</v>
      </c>
      <c r="E1" t="s">
        <v>114</v>
      </c>
      <c r="F1" t="s">
        <v>94</v>
      </c>
    </row>
    <row r="2" spans="1:11" x14ac:dyDescent="0.25">
      <c r="A2" t="s">
        <v>115</v>
      </c>
      <c r="B2" t="s">
        <v>4</v>
      </c>
      <c r="C2" t="s">
        <v>43</v>
      </c>
      <c r="D2">
        <v>1</v>
      </c>
      <c r="E2" s="14">
        <v>46023</v>
      </c>
      <c r="F2" t="s">
        <v>96</v>
      </c>
    </row>
    <row r="3" spans="1:11" x14ac:dyDescent="0.25">
      <c r="A3" t="s">
        <v>116</v>
      </c>
      <c r="B3" t="s">
        <v>18</v>
      </c>
      <c r="C3" t="s">
        <v>48</v>
      </c>
      <c r="D3">
        <v>3</v>
      </c>
      <c r="E3" s="14">
        <v>46024</v>
      </c>
      <c r="F3" t="s">
        <v>98</v>
      </c>
    </row>
    <row r="4" spans="1:11" x14ac:dyDescent="0.25">
      <c r="A4" t="s">
        <v>117</v>
      </c>
      <c r="B4" t="s">
        <v>11</v>
      </c>
      <c r="C4" t="s">
        <v>52</v>
      </c>
      <c r="D4">
        <v>2</v>
      </c>
      <c r="E4" s="14">
        <v>46025</v>
      </c>
      <c r="F4" t="s">
        <v>100</v>
      </c>
      <c r="H4" t="s">
        <v>130</v>
      </c>
      <c r="I4" s="10" t="s">
        <v>115</v>
      </c>
      <c r="J4" s="11" t="s">
        <v>4</v>
      </c>
      <c r="K4" s="5" t="str">
        <f>INDEX(Table2[],MATCH(J4,product!$A$2:$A$11),2)</f>
        <v>Laptop</v>
      </c>
    </row>
    <row r="5" spans="1:11" x14ac:dyDescent="0.25">
      <c r="A5" t="s">
        <v>118</v>
      </c>
      <c r="B5" t="s">
        <v>28</v>
      </c>
      <c r="C5" t="s">
        <v>56</v>
      </c>
      <c r="D5">
        <v>1</v>
      </c>
      <c r="E5" s="14">
        <v>46026</v>
      </c>
      <c r="F5" t="s">
        <v>102</v>
      </c>
      <c r="H5" t="s">
        <v>131</v>
      </c>
      <c r="I5" s="12" t="s">
        <v>116</v>
      </c>
      <c r="J5" s="13" t="s">
        <v>18</v>
      </c>
      <c r="K5" s="5" t="str">
        <f>INDEX(Table2[],MATCH(J5,product!$A$2:$A$11),2)</f>
        <v>Mouse</v>
      </c>
    </row>
    <row r="6" spans="1:11" x14ac:dyDescent="0.25">
      <c r="A6" t="s">
        <v>119</v>
      </c>
      <c r="B6" t="s">
        <v>8</v>
      </c>
      <c r="C6" t="s">
        <v>59</v>
      </c>
      <c r="D6">
        <v>2</v>
      </c>
      <c r="E6" s="14">
        <v>46027</v>
      </c>
      <c r="F6" t="s">
        <v>104</v>
      </c>
      <c r="I6" s="10" t="s">
        <v>117</v>
      </c>
      <c r="J6" s="11" t="s">
        <v>11</v>
      </c>
      <c r="K6" s="5" t="str">
        <f>INDEX(Table2[],MATCH(J6,product!$A$2:$A$11),2)</f>
        <v>Headphones</v>
      </c>
    </row>
    <row r="7" spans="1:11" x14ac:dyDescent="0.25">
      <c r="A7" t="s">
        <v>120</v>
      </c>
      <c r="B7" t="s">
        <v>24</v>
      </c>
      <c r="C7" t="s">
        <v>63</v>
      </c>
      <c r="D7">
        <v>1</v>
      </c>
      <c r="E7" s="14">
        <v>46028</v>
      </c>
      <c r="F7" t="s">
        <v>96</v>
      </c>
      <c r="I7" s="12" t="s">
        <v>118</v>
      </c>
      <c r="J7" s="13" t="s">
        <v>28</v>
      </c>
      <c r="K7" s="5" t="str">
        <f>INDEX(Table2[],MATCH(J7,product!$A$2:$A$11),2)</f>
        <v>Monitor</v>
      </c>
    </row>
    <row r="8" spans="1:11" x14ac:dyDescent="0.25">
      <c r="A8" t="s">
        <v>121</v>
      </c>
      <c r="B8" t="s">
        <v>21</v>
      </c>
      <c r="C8" t="s">
        <v>66</v>
      </c>
      <c r="D8">
        <v>1</v>
      </c>
      <c r="E8" s="14">
        <v>46029</v>
      </c>
      <c r="F8" t="s">
        <v>98</v>
      </c>
      <c r="I8" s="10" t="s">
        <v>119</v>
      </c>
      <c r="J8" s="11" t="s">
        <v>8</v>
      </c>
      <c r="K8" s="5" t="str">
        <f>INDEX(Table2[],MATCH(J8,product!$A$2:$A$11),2)</f>
        <v>Smartphone</v>
      </c>
    </row>
    <row r="9" spans="1:11" x14ac:dyDescent="0.25">
      <c r="A9" t="s">
        <v>122</v>
      </c>
      <c r="B9" t="s">
        <v>31</v>
      </c>
      <c r="C9" t="s">
        <v>70</v>
      </c>
      <c r="D9">
        <v>2</v>
      </c>
      <c r="E9" s="14">
        <v>46030</v>
      </c>
      <c r="F9" t="s">
        <v>100</v>
      </c>
      <c r="I9" s="12" t="s">
        <v>120</v>
      </c>
      <c r="J9" s="13" t="s">
        <v>24</v>
      </c>
      <c r="K9" s="5" t="str">
        <f>INDEX(Table2[],MATCH(J9,product!$A$2:$A$11),2)</f>
        <v>Office Chair</v>
      </c>
    </row>
    <row r="10" spans="1:11" x14ac:dyDescent="0.25">
      <c r="A10" t="s">
        <v>123</v>
      </c>
      <c r="B10" t="s">
        <v>14</v>
      </c>
      <c r="C10" t="s">
        <v>74</v>
      </c>
      <c r="D10">
        <v>4</v>
      </c>
      <c r="E10" s="14">
        <v>46031</v>
      </c>
      <c r="F10" t="s">
        <v>102</v>
      </c>
      <c r="I10" s="10" t="s">
        <v>121</v>
      </c>
      <c r="J10" s="11" t="s">
        <v>21</v>
      </c>
      <c r="K10" s="5" t="str">
        <f>INDEX(Table2[],MATCH(J10,product!$A$2:$A$11),2)</f>
        <v>Printer</v>
      </c>
    </row>
    <row r="11" spans="1:11" x14ac:dyDescent="0.25">
      <c r="A11" t="s">
        <v>124</v>
      </c>
      <c r="B11" t="s">
        <v>26</v>
      </c>
      <c r="C11" t="s">
        <v>77</v>
      </c>
      <c r="D11">
        <v>1</v>
      </c>
      <c r="E11" s="14">
        <v>46032</v>
      </c>
      <c r="F11" t="s">
        <v>104</v>
      </c>
      <c r="I11" s="12" t="s">
        <v>122</v>
      </c>
      <c r="J11" s="13" t="s">
        <v>31</v>
      </c>
      <c r="K11" s="5" t="str">
        <f>INDEX(Table2[],MATCH(J11,product!$A$2:$A$11),2)</f>
        <v>Webcam</v>
      </c>
    </row>
    <row r="12" spans="1:11" x14ac:dyDescent="0.25">
      <c r="A12" t="s">
        <v>125</v>
      </c>
      <c r="B12" t="s">
        <v>18</v>
      </c>
      <c r="C12" t="s">
        <v>43</v>
      </c>
      <c r="D12">
        <v>5</v>
      </c>
      <c r="E12" s="14">
        <v>46033</v>
      </c>
      <c r="F12" t="s">
        <v>96</v>
      </c>
      <c r="I12" s="10" t="s">
        <v>123</v>
      </c>
      <c r="J12" s="11" t="s">
        <v>14</v>
      </c>
      <c r="K12" s="5" t="str">
        <f>INDEX(Table2[],MATCH(J12,product!$A$2:$A$11),2)</f>
        <v>Keyboard</v>
      </c>
    </row>
    <row r="13" spans="1:11" x14ac:dyDescent="0.25">
      <c r="A13" t="s">
        <v>126</v>
      </c>
      <c r="B13" t="s">
        <v>11</v>
      </c>
      <c r="C13" t="s">
        <v>48</v>
      </c>
      <c r="D13">
        <v>3</v>
      </c>
      <c r="E13" s="14">
        <v>46034</v>
      </c>
      <c r="F13" t="s">
        <v>98</v>
      </c>
      <c r="I13" s="12" t="s">
        <v>124</v>
      </c>
      <c r="J13" s="13" t="s">
        <v>26</v>
      </c>
      <c r="K13" s="5" t="str">
        <f>INDEX(Table2[],MATCH(J13,product!$A$2:$A$11),2)</f>
        <v>Office Desk</v>
      </c>
    </row>
    <row r="14" spans="1:11" x14ac:dyDescent="0.25">
      <c r="A14" t="s">
        <v>127</v>
      </c>
      <c r="B14" t="s">
        <v>4</v>
      </c>
      <c r="C14" t="s">
        <v>52</v>
      </c>
      <c r="D14">
        <v>1</v>
      </c>
      <c r="E14" s="14">
        <v>46035</v>
      </c>
      <c r="F14" t="s">
        <v>100</v>
      </c>
      <c r="I14" s="10" t="s">
        <v>125</v>
      </c>
      <c r="J14" s="11" t="s">
        <v>18</v>
      </c>
      <c r="K14" s="5" t="str">
        <f>INDEX(Table2[],MATCH(J14,product!$A$2:$A$11),2)</f>
        <v>Mouse</v>
      </c>
    </row>
    <row r="15" spans="1:11" x14ac:dyDescent="0.25">
      <c r="A15" t="s">
        <v>128</v>
      </c>
      <c r="B15" t="s">
        <v>28</v>
      </c>
      <c r="C15" t="s">
        <v>56</v>
      </c>
      <c r="D15">
        <v>2</v>
      </c>
      <c r="E15" s="14">
        <v>46036</v>
      </c>
      <c r="F15" t="s">
        <v>102</v>
      </c>
      <c r="I15" s="12" t="s">
        <v>126</v>
      </c>
      <c r="J15" s="13" t="s">
        <v>11</v>
      </c>
      <c r="K15" s="5" t="str">
        <f>INDEX(Table2[],MATCH(J15,product!$A$2:$A$11),2)</f>
        <v>Headphones</v>
      </c>
    </row>
    <row r="16" spans="1:11" x14ac:dyDescent="0.25">
      <c r="A16" t="s">
        <v>129</v>
      </c>
      <c r="B16" t="s">
        <v>8</v>
      </c>
      <c r="C16" t="s">
        <v>59</v>
      </c>
      <c r="D16">
        <v>1</v>
      </c>
      <c r="E16" s="14">
        <v>46037</v>
      </c>
      <c r="F16" t="s">
        <v>104</v>
      </c>
      <c r="I16" s="10" t="s">
        <v>127</v>
      </c>
      <c r="J16" s="11" t="s">
        <v>4</v>
      </c>
      <c r="K16" s="5" t="str">
        <f>INDEX(Table2[],MATCH(J16,product!$A$2:$A$11),2)</f>
        <v>Laptop</v>
      </c>
    </row>
    <row r="17" spans="8:11" x14ac:dyDescent="0.25">
      <c r="I17" s="12" t="s">
        <v>128</v>
      </c>
      <c r="J17" s="13" t="s">
        <v>28</v>
      </c>
      <c r="K17" s="5" t="str">
        <f>INDEX(Table2[],MATCH(J17,product!$A$2:$A$11),2)</f>
        <v>Monitor</v>
      </c>
    </row>
    <row r="18" spans="8:11" x14ac:dyDescent="0.25">
      <c r="I18" s="10" t="s">
        <v>129</v>
      </c>
      <c r="J18" s="11" t="s">
        <v>8</v>
      </c>
      <c r="K18" s="5" t="str">
        <f>INDEX(Table2[],MATCH(J18,product!$A$2:$A$11),2)</f>
        <v>Smartphone</v>
      </c>
    </row>
    <row r="21" spans="8:11" x14ac:dyDescent="0.25">
      <c r="H21" t="s">
        <v>132</v>
      </c>
    </row>
    <row r="22" spans="8:11" x14ac:dyDescent="0.25">
      <c r="H22" t="s">
        <v>133</v>
      </c>
      <c r="I22" s="11" t="s">
        <v>43</v>
      </c>
      <c r="J22" t="str">
        <f>INDEX(Table4[],MATCH(I22,Table4[Customer ID]),2)</f>
        <v>Amit Patel</v>
      </c>
    </row>
    <row r="23" spans="8:11" x14ac:dyDescent="0.25">
      <c r="I23" s="13" t="s">
        <v>48</v>
      </c>
      <c r="J23" t="str">
        <f>INDEX(Table4[],MATCH(I23,Table4[Customer ID]),2)</f>
        <v>Priya Shah</v>
      </c>
    </row>
    <row r="24" spans="8:11" x14ac:dyDescent="0.25">
      <c r="I24" s="11" t="s">
        <v>52</v>
      </c>
      <c r="J24" t="str">
        <f>INDEX(Table4[],MATCH(I24,Table4[Customer ID]),2)</f>
        <v>Rahul Mehta</v>
      </c>
    </row>
    <row r="25" spans="8:11" x14ac:dyDescent="0.25">
      <c r="I25" s="13" t="s">
        <v>56</v>
      </c>
      <c r="J25" t="str">
        <f>INDEX(Table4[],MATCH(I25,Table4[Customer ID]),2)</f>
        <v>Sneha Joshi</v>
      </c>
    </row>
    <row r="26" spans="8:11" x14ac:dyDescent="0.25">
      <c r="I26" s="11" t="s">
        <v>59</v>
      </c>
      <c r="J26" t="str">
        <f>INDEX(Table4[],MATCH(I26,Table4[Customer ID]),2)</f>
        <v>Arjun Singh</v>
      </c>
    </row>
    <row r="27" spans="8:11" x14ac:dyDescent="0.25">
      <c r="I27" s="13" t="s">
        <v>63</v>
      </c>
      <c r="J27" t="str">
        <f>INDEX(Table4[],MATCH(I27,Table4[Customer ID]),2)</f>
        <v>Neha Verma</v>
      </c>
    </row>
    <row r="28" spans="8:11" x14ac:dyDescent="0.25">
      <c r="I28" s="11" t="s">
        <v>66</v>
      </c>
      <c r="J28" t="str">
        <f>INDEX(Table4[],MATCH(I28,Table4[Customer ID]),2)</f>
        <v>Rohan Gupta</v>
      </c>
    </row>
    <row r="29" spans="8:11" x14ac:dyDescent="0.25">
      <c r="I29" s="13" t="s">
        <v>70</v>
      </c>
      <c r="J29" t="str">
        <f>INDEX(Table4[],MATCH(I29,Table4[Customer ID]),2)</f>
        <v>Pooja Sharma</v>
      </c>
    </row>
    <row r="30" spans="8:11" x14ac:dyDescent="0.25">
      <c r="I30" s="11" t="s">
        <v>74</v>
      </c>
      <c r="J30" t="str">
        <f>INDEX(Table4[],MATCH(I30,Table4[Customer ID]),2)</f>
        <v>Karan Desai</v>
      </c>
    </row>
    <row r="31" spans="8:11" x14ac:dyDescent="0.25">
      <c r="I31" s="13" t="s">
        <v>77</v>
      </c>
      <c r="J31" t="str">
        <f>INDEX(Table4[],MATCH(I31,Table4[Customer ID]),2)</f>
        <v>Anjali Nair</v>
      </c>
    </row>
    <row r="32" spans="8:11" x14ac:dyDescent="0.25">
      <c r="I32" s="11" t="s">
        <v>43</v>
      </c>
      <c r="J32" t="str">
        <f>INDEX(Table4[],MATCH(I32,Table4[Customer ID]),2)</f>
        <v>Amit Patel</v>
      </c>
    </row>
    <row r="33" spans="8:10" x14ac:dyDescent="0.25">
      <c r="I33" s="13" t="s">
        <v>48</v>
      </c>
      <c r="J33" t="str">
        <f>INDEX(Table4[],MATCH(I33,Table4[Customer ID]),2)</f>
        <v>Priya Shah</v>
      </c>
    </row>
    <row r="34" spans="8:10" x14ac:dyDescent="0.25">
      <c r="I34" s="11" t="s">
        <v>52</v>
      </c>
      <c r="J34" t="str">
        <f>INDEX(Table4[],MATCH(I34,Table4[Customer ID]),2)</f>
        <v>Rahul Mehta</v>
      </c>
    </row>
    <row r="35" spans="8:10" x14ac:dyDescent="0.25">
      <c r="I35" s="13" t="s">
        <v>56</v>
      </c>
      <c r="J35" t="str">
        <f>INDEX(Table4[],MATCH(I35,Table4[Customer ID]),2)</f>
        <v>Sneha Joshi</v>
      </c>
    </row>
    <row r="36" spans="8:10" x14ac:dyDescent="0.25">
      <c r="I36" s="11" t="s">
        <v>59</v>
      </c>
      <c r="J36" t="str">
        <f>INDEX(Table4[],MATCH(I36,Table4[Customer ID]),2)</f>
        <v>Arjun Singh</v>
      </c>
    </row>
    <row r="38" spans="8:10" x14ac:dyDescent="0.25">
      <c r="H38" t="s">
        <v>134</v>
      </c>
    </row>
    <row r="39" spans="8:10" x14ac:dyDescent="0.25">
      <c r="H39" t="s">
        <v>135</v>
      </c>
      <c r="I39" s="15" t="s">
        <v>96</v>
      </c>
      <c r="J39" t="str">
        <f>INDEX(Table5[],MATCH(sales!I39,Table5[Store ID]),2)</f>
        <v>Alpha Store</v>
      </c>
    </row>
    <row r="40" spans="8:10" x14ac:dyDescent="0.25">
      <c r="I40" s="16" t="s">
        <v>98</v>
      </c>
      <c r="J40" t="str">
        <f>INDEX(Table5[],MATCH(sales!I40,Table5[Store ID]),2)</f>
        <v>Beta Store</v>
      </c>
    </row>
    <row r="41" spans="8:10" x14ac:dyDescent="0.25">
      <c r="I41" s="15" t="s">
        <v>100</v>
      </c>
      <c r="J41" t="str">
        <f>INDEX(Table5[],MATCH(sales!I41,Table5[Store ID]),2)</f>
        <v>Central Store</v>
      </c>
    </row>
    <row r="42" spans="8:10" x14ac:dyDescent="0.25">
      <c r="I42" s="16" t="s">
        <v>102</v>
      </c>
      <c r="J42" t="str">
        <f>INDEX(Table5[],MATCH(sales!I42,Table5[Store ID]),2)</f>
        <v>Digital Hub</v>
      </c>
    </row>
    <row r="43" spans="8:10" x14ac:dyDescent="0.25">
      <c r="I43" s="15" t="s">
        <v>104</v>
      </c>
      <c r="J43" t="str">
        <f>INDEX(Table5[],MATCH(sales!I43,Table5[Store ID]),2)</f>
        <v>Smart World</v>
      </c>
    </row>
    <row r="44" spans="8:10" x14ac:dyDescent="0.25">
      <c r="I44" s="16" t="s">
        <v>96</v>
      </c>
      <c r="J44" t="str">
        <f>INDEX(Table5[],MATCH(sales!I44,Table5[Store ID]),2)</f>
        <v>Alpha Store</v>
      </c>
    </row>
    <row r="45" spans="8:10" x14ac:dyDescent="0.25">
      <c r="I45" s="15" t="s">
        <v>98</v>
      </c>
      <c r="J45" t="str">
        <f>INDEX(Table5[],MATCH(sales!I45,Table5[Store ID]),2)</f>
        <v>Beta Store</v>
      </c>
    </row>
    <row r="46" spans="8:10" x14ac:dyDescent="0.25">
      <c r="I46" s="16" t="s">
        <v>100</v>
      </c>
      <c r="J46" t="str">
        <f>INDEX(Table5[],MATCH(sales!I46,Table5[Store ID]),2)</f>
        <v>Central Store</v>
      </c>
    </row>
    <row r="47" spans="8:10" x14ac:dyDescent="0.25">
      <c r="I47" s="15" t="s">
        <v>102</v>
      </c>
      <c r="J47" t="str">
        <f>INDEX(Table5[],MATCH(sales!I47,Table5[Store ID]),2)</f>
        <v>Digital Hub</v>
      </c>
    </row>
    <row r="48" spans="8:10" x14ac:dyDescent="0.25">
      <c r="I48" s="16" t="s">
        <v>104</v>
      </c>
      <c r="J48" t="str">
        <f>INDEX(Table5[],MATCH(sales!I48,Table5[Store ID]),2)</f>
        <v>Smart World</v>
      </c>
    </row>
    <row r="49" spans="8:10" x14ac:dyDescent="0.25">
      <c r="I49" s="15" t="s">
        <v>96</v>
      </c>
      <c r="J49" t="str">
        <f>INDEX(Table5[],MATCH(sales!I49,Table5[Store ID]),2)</f>
        <v>Alpha Store</v>
      </c>
    </row>
    <row r="50" spans="8:10" x14ac:dyDescent="0.25">
      <c r="I50" s="16" t="s">
        <v>98</v>
      </c>
      <c r="J50" t="str">
        <f>INDEX(Table5[],MATCH(sales!I50,Table5[Store ID]),2)</f>
        <v>Beta Store</v>
      </c>
    </row>
    <row r="51" spans="8:10" x14ac:dyDescent="0.25">
      <c r="I51" s="15" t="s">
        <v>100</v>
      </c>
      <c r="J51" t="str">
        <f>INDEX(Table5[],MATCH(sales!I51,Table5[Store ID]),2)</f>
        <v>Central Store</v>
      </c>
    </row>
    <row r="52" spans="8:10" x14ac:dyDescent="0.25">
      <c r="I52" s="16" t="s">
        <v>102</v>
      </c>
      <c r="J52" t="str">
        <f>INDEX(Table5[],MATCH(sales!I52,Table5[Store ID]),2)</f>
        <v>Digital Hub</v>
      </c>
    </row>
    <row r="53" spans="8:10" x14ac:dyDescent="0.25">
      <c r="I53" s="15" t="s">
        <v>104</v>
      </c>
      <c r="J53" t="str">
        <f>INDEX(Table5[],MATCH(sales!I53,Table5[Store ID]),2)</f>
        <v>Smart World</v>
      </c>
    </row>
    <row r="56" spans="8:10" x14ac:dyDescent="0.25">
      <c r="H56" t="s">
        <v>136</v>
      </c>
      <c r="I56" s="11" t="s">
        <v>4</v>
      </c>
      <c r="J56">
        <f>INDEX(Table2[],MATCH(sales!I56,Table2[Product ID]),5)</f>
        <v>55000</v>
      </c>
    </row>
    <row r="57" spans="8:10" x14ac:dyDescent="0.25">
      <c r="H57" t="s">
        <v>137</v>
      </c>
      <c r="I57" s="13" t="s">
        <v>18</v>
      </c>
      <c r="J57">
        <f>INDEX(Table2[],MATCH(sales!I57,Table2[Product ID]),5)</f>
        <v>900</v>
      </c>
    </row>
    <row r="58" spans="8:10" x14ac:dyDescent="0.25">
      <c r="I58" s="11" t="s">
        <v>11</v>
      </c>
      <c r="J58">
        <f>INDEX(Table2[],MATCH(sales!I58,Table2[Product ID]),5)</f>
        <v>4500</v>
      </c>
    </row>
    <row r="59" spans="8:10" x14ac:dyDescent="0.25">
      <c r="I59" s="13" t="s">
        <v>28</v>
      </c>
      <c r="J59">
        <f>INDEX(Table2[],MATCH(sales!I59,Table2[Product ID]),5)</f>
        <v>16000</v>
      </c>
    </row>
    <row r="60" spans="8:10" x14ac:dyDescent="0.25">
      <c r="I60" s="11" t="s">
        <v>8</v>
      </c>
      <c r="J60">
        <f>INDEX(Table2[],MATCH(sales!I60,Table2[Product ID]),5)</f>
        <v>32000</v>
      </c>
    </row>
    <row r="61" spans="8:10" x14ac:dyDescent="0.25">
      <c r="I61" s="13" t="s">
        <v>24</v>
      </c>
      <c r="J61">
        <f>INDEX(Table2[],MATCH(sales!I61,Table2[Product ID]),5)</f>
        <v>8500</v>
      </c>
    </row>
    <row r="62" spans="8:10" x14ac:dyDescent="0.25">
      <c r="I62" s="11" t="s">
        <v>21</v>
      </c>
      <c r="J62">
        <f>INDEX(Table2[],MATCH(sales!I62,Table2[Product ID]),5)</f>
        <v>12500</v>
      </c>
    </row>
    <row r="63" spans="8:10" x14ac:dyDescent="0.25">
      <c r="I63" s="13" t="s">
        <v>31</v>
      </c>
      <c r="J63">
        <f>INDEX(Table2[],MATCH(sales!I63,Table2[Product ID]),5)</f>
        <v>3500</v>
      </c>
    </row>
    <row r="64" spans="8:10" x14ac:dyDescent="0.25">
      <c r="I64" s="11" t="s">
        <v>14</v>
      </c>
      <c r="J64">
        <f>INDEX(Table2[],MATCH(sales!I64,Table2[Product ID]),5)</f>
        <v>1800</v>
      </c>
    </row>
    <row r="65" spans="8:13" x14ac:dyDescent="0.25">
      <c r="I65" s="13" t="s">
        <v>26</v>
      </c>
      <c r="J65">
        <f>INDEX(Table2[],MATCH(sales!I65,Table2[Product ID]),5)</f>
        <v>12000</v>
      </c>
    </row>
    <row r="66" spans="8:13" x14ac:dyDescent="0.25">
      <c r="I66" s="11" t="s">
        <v>18</v>
      </c>
      <c r="J66">
        <f>INDEX(Table2[],MATCH(sales!I66,Table2[Product ID]),5)</f>
        <v>900</v>
      </c>
    </row>
    <row r="67" spans="8:13" x14ac:dyDescent="0.25">
      <c r="I67" s="13" t="s">
        <v>11</v>
      </c>
      <c r="J67">
        <f>INDEX(Table2[],MATCH(sales!I67,Table2[Product ID]),5)</f>
        <v>4500</v>
      </c>
    </row>
    <row r="68" spans="8:13" x14ac:dyDescent="0.25">
      <c r="I68" s="11" t="s">
        <v>4</v>
      </c>
      <c r="J68">
        <f>INDEX(Table2[],MATCH(sales!I68,Table2[Product ID]),5)</f>
        <v>55000</v>
      </c>
    </row>
    <row r="69" spans="8:13" x14ac:dyDescent="0.25">
      <c r="I69" s="13" t="s">
        <v>28</v>
      </c>
      <c r="J69">
        <f>INDEX(Table2[],MATCH(sales!I69,Table2[Product ID]),5)</f>
        <v>16000</v>
      </c>
    </row>
    <row r="70" spans="8:13" x14ac:dyDescent="0.25">
      <c r="I70" s="11" t="s">
        <v>8</v>
      </c>
      <c r="J70">
        <f>INDEX(Table2[],MATCH(sales!I70,Table2[Product ID]),5)</f>
        <v>32000</v>
      </c>
    </row>
    <row r="73" spans="8:13" x14ac:dyDescent="0.25">
      <c r="H73" t="s">
        <v>138</v>
      </c>
    </row>
    <row r="74" spans="8:13" x14ac:dyDescent="0.25">
      <c r="H74" t="s">
        <v>139</v>
      </c>
      <c r="I74" s="10" t="s">
        <v>115</v>
      </c>
      <c r="J74" s="11" t="s">
        <v>4</v>
      </c>
      <c r="K74" s="11" t="s">
        <v>43</v>
      </c>
      <c r="L74" s="11">
        <v>1</v>
      </c>
      <c r="M74">
        <f>L74*INDEX(Table2[],MATCH(J74,Table2[Product ID]),5)</f>
        <v>55000</v>
      </c>
    </row>
    <row r="75" spans="8:13" x14ac:dyDescent="0.25">
      <c r="I75" s="12" t="s">
        <v>116</v>
      </c>
      <c r="J75" s="13" t="s">
        <v>18</v>
      </c>
      <c r="K75" s="13" t="s">
        <v>48</v>
      </c>
      <c r="L75" s="13">
        <v>3</v>
      </c>
      <c r="M75">
        <f>L75*INDEX(Table2[],MATCH(J75,Table2[Product ID]),5)</f>
        <v>2700</v>
      </c>
    </row>
    <row r="76" spans="8:13" x14ac:dyDescent="0.25">
      <c r="I76" s="10" t="s">
        <v>117</v>
      </c>
      <c r="J76" s="11" t="s">
        <v>11</v>
      </c>
      <c r="K76" s="11" t="s">
        <v>52</v>
      </c>
      <c r="L76" s="11">
        <v>2</v>
      </c>
      <c r="M76">
        <f>L76*INDEX(Table2[],MATCH(J76,Table2[Product ID]),5)</f>
        <v>9000</v>
      </c>
    </row>
    <row r="77" spans="8:13" x14ac:dyDescent="0.25">
      <c r="I77" s="12" t="s">
        <v>118</v>
      </c>
      <c r="J77" s="13" t="s">
        <v>28</v>
      </c>
      <c r="K77" s="13" t="s">
        <v>56</v>
      </c>
      <c r="L77" s="13">
        <v>1</v>
      </c>
      <c r="M77">
        <f>L77*INDEX(Table2[],MATCH(J77,Table2[Product ID]),5)</f>
        <v>16000</v>
      </c>
    </row>
    <row r="78" spans="8:13" x14ac:dyDescent="0.25">
      <c r="I78" s="10" t="s">
        <v>119</v>
      </c>
      <c r="J78" s="11" t="s">
        <v>8</v>
      </c>
      <c r="K78" s="11" t="s">
        <v>59</v>
      </c>
      <c r="L78" s="11">
        <v>2</v>
      </c>
      <c r="M78">
        <f>L78*INDEX(Table2[],MATCH(J78,Table2[Product ID]),5)</f>
        <v>64000</v>
      </c>
    </row>
    <row r="79" spans="8:13" x14ac:dyDescent="0.25">
      <c r="I79" s="12" t="s">
        <v>120</v>
      </c>
      <c r="J79" s="13" t="s">
        <v>24</v>
      </c>
      <c r="K79" s="13" t="s">
        <v>63</v>
      </c>
      <c r="L79" s="13">
        <v>1</v>
      </c>
      <c r="M79">
        <f>L79*INDEX(Table2[],MATCH(J79,Table2[Product ID]),5)</f>
        <v>8500</v>
      </c>
    </row>
    <row r="80" spans="8:13" x14ac:dyDescent="0.25">
      <c r="I80" s="10" t="s">
        <v>121</v>
      </c>
      <c r="J80" s="11" t="s">
        <v>21</v>
      </c>
      <c r="K80" s="11" t="s">
        <v>66</v>
      </c>
      <c r="L80" s="11">
        <v>1</v>
      </c>
      <c r="M80">
        <f>L80*INDEX(Table2[],MATCH(J80,Table2[Product ID]),5)</f>
        <v>12500</v>
      </c>
    </row>
    <row r="81" spans="8:13" x14ac:dyDescent="0.25">
      <c r="I81" s="12" t="s">
        <v>122</v>
      </c>
      <c r="J81" s="13" t="s">
        <v>31</v>
      </c>
      <c r="K81" s="13" t="s">
        <v>70</v>
      </c>
      <c r="L81" s="13">
        <v>2</v>
      </c>
      <c r="M81">
        <f>L81*INDEX(Table2[],MATCH(J81,Table2[Product ID]),5)</f>
        <v>7000</v>
      </c>
    </row>
    <row r="82" spans="8:13" x14ac:dyDescent="0.25">
      <c r="I82" s="10" t="s">
        <v>123</v>
      </c>
      <c r="J82" s="11" t="s">
        <v>14</v>
      </c>
      <c r="K82" s="11" t="s">
        <v>74</v>
      </c>
      <c r="L82" s="11">
        <v>4</v>
      </c>
      <c r="M82">
        <f>L82*INDEX(Table2[],MATCH(J82,Table2[Product ID]),5)</f>
        <v>7200</v>
      </c>
    </row>
    <row r="83" spans="8:13" x14ac:dyDescent="0.25">
      <c r="I83" s="12" t="s">
        <v>124</v>
      </c>
      <c r="J83" s="13" t="s">
        <v>26</v>
      </c>
      <c r="K83" s="13" t="s">
        <v>77</v>
      </c>
      <c r="L83" s="13">
        <v>1</v>
      </c>
      <c r="M83">
        <f>L83*INDEX(Table2[],MATCH(J83,Table2[Product ID]),5)</f>
        <v>12000</v>
      </c>
    </row>
    <row r="84" spans="8:13" x14ac:dyDescent="0.25">
      <c r="I84" s="10" t="s">
        <v>125</v>
      </c>
      <c r="J84" s="11" t="s">
        <v>18</v>
      </c>
      <c r="K84" s="11" t="s">
        <v>43</v>
      </c>
      <c r="L84" s="11">
        <v>5</v>
      </c>
      <c r="M84">
        <f>L84*INDEX(Table2[],MATCH(J84,Table2[Product ID]),5)</f>
        <v>4500</v>
      </c>
    </row>
    <row r="85" spans="8:13" x14ac:dyDescent="0.25">
      <c r="I85" s="12" t="s">
        <v>126</v>
      </c>
      <c r="J85" s="13" t="s">
        <v>11</v>
      </c>
      <c r="K85" s="13" t="s">
        <v>48</v>
      </c>
      <c r="L85" s="13">
        <v>3</v>
      </c>
      <c r="M85">
        <f>L85*INDEX(Table2[],MATCH(J85,Table2[Product ID]),5)</f>
        <v>13500</v>
      </c>
    </row>
    <row r="86" spans="8:13" x14ac:dyDescent="0.25">
      <c r="I86" s="10" t="s">
        <v>127</v>
      </c>
      <c r="J86" s="11" t="s">
        <v>4</v>
      </c>
      <c r="K86" s="11" t="s">
        <v>52</v>
      </c>
      <c r="L86" s="11">
        <v>1</v>
      </c>
      <c r="M86">
        <f>L86*INDEX(Table2[],MATCH(J86,Table2[Product ID]),5)</f>
        <v>55000</v>
      </c>
    </row>
    <row r="87" spans="8:13" x14ac:dyDescent="0.25">
      <c r="I87" s="12" t="s">
        <v>128</v>
      </c>
      <c r="J87" s="13" t="s">
        <v>28</v>
      </c>
      <c r="K87" s="13" t="s">
        <v>56</v>
      </c>
      <c r="L87" s="13">
        <v>2</v>
      </c>
      <c r="M87">
        <f>L87*INDEX(Table2[],MATCH(J87,Table2[Product ID]),5)</f>
        <v>32000</v>
      </c>
    </row>
    <row r="88" spans="8:13" x14ac:dyDescent="0.25">
      <c r="I88" s="10" t="s">
        <v>129</v>
      </c>
      <c r="J88" s="11" t="s">
        <v>8</v>
      </c>
      <c r="K88" s="11" t="s">
        <v>59</v>
      </c>
      <c r="L88" s="17">
        <v>1</v>
      </c>
      <c r="M88">
        <f>L88*INDEX(Table2[],MATCH(J88,Table2[Product ID]),5)</f>
        <v>32000</v>
      </c>
    </row>
    <row r="89" spans="8:13" x14ac:dyDescent="0.25">
      <c r="L89" s="5" t="s">
        <v>140</v>
      </c>
      <c r="M89" s="5">
        <f>SUM(M74:M88)</f>
        <v>330900</v>
      </c>
    </row>
    <row r="95" spans="8:13" x14ac:dyDescent="0.25">
      <c r="H95" t="s">
        <v>141</v>
      </c>
    </row>
    <row r="96" spans="8:13" x14ac:dyDescent="0.25">
      <c r="H96" t="s">
        <v>142</v>
      </c>
    </row>
    <row r="97" spans="8:13" x14ac:dyDescent="0.25">
      <c r="H97" t="s">
        <v>143</v>
      </c>
    </row>
    <row r="98" spans="8:13" x14ac:dyDescent="0.25">
      <c r="H98" t="s">
        <v>144</v>
      </c>
      <c r="I98" s="5" t="s">
        <v>37</v>
      </c>
      <c r="J98" s="5"/>
      <c r="K98" s="5"/>
      <c r="L98" s="5"/>
      <c r="M98" s="5"/>
    </row>
    <row r="99" spans="8:13" x14ac:dyDescent="0.25">
      <c r="I99" s="5" t="s">
        <v>26</v>
      </c>
      <c r="J99" s="5" t="str">
        <f>INDEX(Table2[],MATCH(sales!$I$99,Table2[Product ID]),2)</f>
        <v>Office Desk</v>
      </c>
      <c r="K99" s="5" t="str">
        <f>INDEX(Table2[],MATCH(sales!$I$99,Table2[Product ID]),3)</f>
        <v>Furniture</v>
      </c>
      <c r="L99" s="5" t="str">
        <f>INDEX(Table2[],MATCH(sales!$I$99,Table2[Product ID]),4)</f>
        <v>IKEA</v>
      </c>
      <c r="M99" s="5">
        <f>INDEX(Table2[],MATCH(sales!$I$99,Table2[Product ID]),5)</f>
        <v>12000</v>
      </c>
    </row>
    <row r="104" spans="8:13" x14ac:dyDescent="0.25">
      <c r="H104" t="s">
        <v>145</v>
      </c>
    </row>
    <row r="105" spans="8:13" x14ac:dyDescent="0.25">
      <c r="H105" t="s">
        <v>146</v>
      </c>
    </row>
    <row r="106" spans="8:13" x14ac:dyDescent="0.25">
      <c r="H106" t="s">
        <v>147</v>
      </c>
    </row>
    <row r="107" spans="8:13" ht="45" x14ac:dyDescent="0.25">
      <c r="H107" s="18" t="s">
        <v>148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6922B26-F319-4219-AAD6-B04DB9CE664E}">
          <x14:formula1>
            <xm:f>product!$A$2:$A$11</xm:f>
          </x14:formula1>
          <xm:sqref>I99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6C67-A3A2-4FEB-8910-01088D1D697A}">
  <dimension ref="A1:M2"/>
  <sheetViews>
    <sheetView tabSelected="1" zoomScale="132" workbookViewId="0">
      <selection activeCell="A2" sqref="A2"/>
    </sheetView>
  </sheetViews>
  <sheetFormatPr defaultRowHeight="15" x14ac:dyDescent="0.25"/>
  <cols>
    <col min="1" max="1" width="7.85546875" bestFit="1" customWidth="1"/>
    <col min="2" max="2" width="10.140625" bestFit="1" customWidth="1"/>
    <col min="3" max="3" width="14.140625" bestFit="1" customWidth="1"/>
    <col min="4" max="4" width="9.7109375" bestFit="1" customWidth="1"/>
    <col min="5" max="5" width="7" bestFit="1" customWidth="1"/>
    <col min="6" max="6" width="16.28515625" bestFit="1" customWidth="1"/>
    <col min="7" max="7" width="14.42578125" bestFit="1" customWidth="1"/>
    <col min="8" max="8" width="12.28515625" bestFit="1" customWidth="1"/>
    <col min="9" max="9" width="10.42578125" bestFit="1" customWidth="1"/>
    <col min="10" max="10" width="9.5703125" bestFit="1" customWidth="1"/>
    <col min="11" max="11" width="13.7109375" bestFit="1" customWidth="1"/>
    <col min="12" max="12" width="11.28515625" bestFit="1" customWidth="1"/>
    <col min="13" max="13" width="10.5703125" customWidth="1"/>
  </cols>
  <sheetData>
    <row r="1" spans="1:13" x14ac:dyDescent="0.25">
      <c r="A1" t="s">
        <v>149</v>
      </c>
      <c r="B1" t="s">
        <v>37</v>
      </c>
      <c r="C1" t="s">
        <v>150</v>
      </c>
      <c r="D1" t="s">
        <v>151</v>
      </c>
      <c r="E1" t="s">
        <v>152</v>
      </c>
      <c r="F1" t="s">
        <v>153</v>
      </c>
      <c r="G1" t="s">
        <v>154</v>
      </c>
      <c r="H1" t="s">
        <v>155</v>
      </c>
      <c r="I1" t="s">
        <v>156</v>
      </c>
      <c r="J1" t="s">
        <v>157</v>
      </c>
      <c r="K1" t="s">
        <v>158</v>
      </c>
      <c r="L1" t="s">
        <v>159</v>
      </c>
      <c r="M1" t="s">
        <v>160</v>
      </c>
    </row>
    <row r="2" spans="1:13" x14ac:dyDescent="0.25">
      <c r="A2" t="s">
        <v>115</v>
      </c>
      <c r="B2" t="str">
        <f>INDEX(Table6[#All],MATCH(Dashboard!A2,Table6[[#All],[Sale ID]]),2)</f>
        <v>P1001</v>
      </c>
      <c r="C2" t="str">
        <f>INDEX(Table2[],MATCH(Dashboard!B2,Table2[Product ID]),2)</f>
        <v>Laptop</v>
      </c>
      <c r="D2" t="str">
        <f>INDEX(Table2[],MATCH(Dashboard!C2,Table2[Product Name]),3)</f>
        <v>Electronics</v>
      </c>
      <c r="E2" t="str">
        <f>INDEX(Table2[],MATCH(Dashboard!B2,Table2[Product ID]),4)</f>
        <v>Dell</v>
      </c>
      <c r="F2" t="str">
        <f>INDEX(Table4[Customer Name],MATCH(INDEX(Table6[Customer ID],MATCH(A2,Table6[Sale ID],0)),Table4[Customer ID],0))</f>
        <v>Amit Patel</v>
      </c>
      <c r="G2" t="str">
        <f>INDEX(Table4[City],MATCH(INDEX(Table6[Customer ID],MATCH(A2,Table6[Sale ID],0)),Table4[Customer ID],0))</f>
        <v>Ahmedabad</v>
      </c>
      <c r="H2" t="str">
        <f>INDEX(Table5[Store Name],MATCH(INDEX(Table6[Store ID],MATCH(A2,Table6[Sale ID],0)),Table5[Store ID],0))</f>
        <v>Alpha Store</v>
      </c>
      <c r="I2" t="str">
        <f>INDEX(Table5[City],MATCH(INDEX(Table6[Store ID],MATCH(A2,Table6[Sale ID],0)),Table5[Store ID],0))</f>
        <v>Ahmedabad</v>
      </c>
      <c r="J2">
        <f>INDEX(Table6[Quantity],MATCH(A2,Table6[Sale ID],0))</f>
        <v>1</v>
      </c>
      <c r="K2">
        <f>INDEX(Table2[Price],MATCH(B2,Table2[Product ID],0))</f>
        <v>55000</v>
      </c>
      <c r="L2">
        <f>INDEX(Table6[Quantity],MATCH(A2,Table6[Sale ID],0))*INDEX(Table2[Price],MATCH(B2,Table2[Product ID],0))</f>
        <v>55000</v>
      </c>
      <c r="M2" s="19">
        <f>INDEX(Table6[Date],MATCH(A2,Table6[Sale ID],0))</f>
        <v>46023</v>
      </c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BB8020-2F56-4790-A838-415589D49E60}">
          <x14:formula1>
            <xm:f>sales!$A$2:$A$16</xm:f>
          </x14:formula1>
          <xm:sqref>A2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59D3F-9213-4731-A9CE-F9957E122C1C}">
  <dimension ref="A1:B15"/>
  <sheetViews>
    <sheetView workbookViewId="0">
      <selection activeCell="B7" sqref="B7"/>
    </sheetView>
  </sheetViews>
  <sheetFormatPr defaultRowHeight="15" x14ac:dyDescent="0.25"/>
  <cols>
    <col min="1" max="1" width="15.42578125" bestFit="1" customWidth="1"/>
    <col min="2" max="2" width="12" bestFit="1" customWidth="1"/>
  </cols>
  <sheetData>
    <row r="1" spans="1:2" ht="21" x14ac:dyDescent="0.25">
      <c r="A1" s="21" t="s">
        <v>161</v>
      </c>
      <c r="B1" s="21"/>
    </row>
    <row r="2" spans="1:2" x14ac:dyDescent="0.25">
      <c r="A2" s="22" t="s">
        <v>149</v>
      </c>
      <c r="B2" s="23" t="s">
        <v>125</v>
      </c>
    </row>
    <row r="3" spans="1:2" x14ac:dyDescent="0.25">
      <c r="A3" s="20"/>
      <c r="B3" s="20"/>
    </row>
    <row r="4" spans="1:2" x14ac:dyDescent="0.25">
      <c r="A4" s="24" t="s">
        <v>37</v>
      </c>
      <c r="B4" s="25" t="str">
        <f>INDEX(Table6[Product ID],MATCH(B2,Table6[Sale ID],0))</f>
        <v>P1005</v>
      </c>
    </row>
    <row r="5" spans="1:2" x14ac:dyDescent="0.25">
      <c r="A5" s="24" t="s">
        <v>36</v>
      </c>
      <c r="B5" s="25" t="str">
        <f>INDEX(Table2[Product Name],MATCH(B4,Table2[Product ID],0))</f>
        <v>Mouse</v>
      </c>
    </row>
    <row r="6" spans="1:2" x14ac:dyDescent="0.25">
      <c r="A6" s="24" t="s">
        <v>0</v>
      </c>
      <c r="B6" s="25" t="str">
        <f>INDEX(Table2[Category],MATCH(B4,Table2[Product ID],0))</f>
        <v>Accessories</v>
      </c>
    </row>
    <row r="7" spans="1:2" x14ac:dyDescent="0.25">
      <c r="A7" s="24" t="s">
        <v>1</v>
      </c>
      <c r="B7" s="25" t="str">
        <f>INDEX(Table2[Brand],MATCH(B4,Table2[Product ID],0))</f>
        <v>HP</v>
      </c>
    </row>
    <row r="8" spans="1:2" x14ac:dyDescent="0.25">
      <c r="A8" s="24" t="s">
        <v>39</v>
      </c>
      <c r="B8" s="25" t="str">
        <f>INDEX(Table4[Customer Name],MATCH(INDEX(Table6[Customer ID],MATCH(B2,Table6[Sale ID],0)),Table4[Customer ID],0))</f>
        <v>Amit Patel</v>
      </c>
    </row>
    <row r="9" spans="1:2" x14ac:dyDescent="0.25">
      <c r="A9" s="24" t="s">
        <v>162</v>
      </c>
      <c r="B9" s="25" t="str">
        <f>INDEX(Table4[City],MATCH(INDEX(Table6[Customer ID],MATCH(B2,Table6[Sale ID],0)),Table4[Customer ID],0))</f>
        <v>Ahmedabad</v>
      </c>
    </row>
    <row r="10" spans="1:2" x14ac:dyDescent="0.25">
      <c r="A10" s="24" t="s">
        <v>95</v>
      </c>
      <c r="B10" s="25" t="str">
        <f>INDEX(Table5[Store Name],MATCH(INDEX(Table6[Store ID],MATCH(B2,Table6[Sale ID],0)),Table5[Store ID],0))</f>
        <v>Alpha Store</v>
      </c>
    </row>
    <row r="11" spans="1:2" x14ac:dyDescent="0.25">
      <c r="A11" s="24" t="s">
        <v>163</v>
      </c>
      <c r="B11" s="25" t="str">
        <f>INDEX(Table5[City],MATCH(INDEX(Table6[Store ID],MATCH(B2,Table6[Sale ID],0)),Table5[Store ID],0))</f>
        <v>Ahmedabad</v>
      </c>
    </row>
    <row r="12" spans="1:2" x14ac:dyDescent="0.25">
      <c r="A12" s="24" t="s">
        <v>113</v>
      </c>
      <c r="B12" s="25">
        <f>INDEX(Table6[Quantity],MATCH(B2,Table6[Sale ID],0))</f>
        <v>5</v>
      </c>
    </row>
    <row r="13" spans="1:2" x14ac:dyDescent="0.25">
      <c r="A13" s="24" t="s">
        <v>164</v>
      </c>
      <c r="B13" s="26">
        <f>INDEX(Table2[Price],MATCH(B4,Table2[Product ID],0))</f>
        <v>900</v>
      </c>
    </row>
    <row r="14" spans="1:2" x14ac:dyDescent="0.25">
      <c r="A14" s="24" t="s">
        <v>165</v>
      </c>
      <c r="B14" s="26">
        <f>B12*B13</f>
        <v>4500</v>
      </c>
    </row>
    <row r="15" spans="1:2" x14ac:dyDescent="0.25">
      <c r="A15" s="24" t="s">
        <v>114</v>
      </c>
      <c r="B15" s="27">
        <f>INDEX(Table6[Date],MATCH(B2,Table6[Sale ID],0))</f>
        <v>46033</v>
      </c>
    </row>
  </sheetData>
  <mergeCells count="1">
    <mergeCell ref="A1:B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Sales ID" error="Please choose a Sales ID from the dropdown." promptTitle="Choose Sales ID" prompt="Select a Sales ID from the list." xr:uid="{1F0076D9-48FF-4005-812E-B4EBFDBB04E0}">
          <x14:formula1>
            <xm:f>sales!$A$2:$A$107</xm:f>
          </x14:formula1>
          <xm:sqref>B2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676BBBC5-84E8-4A41-9B30-EE743F81A678}">
  <ds:schemaRefs/>
</ds:datastoreItem>
</file>

<file path=customXml/itemProps2.xml><?xml version="1.0" encoding="utf-8"?>
<ds:datastoreItem xmlns:ds="http://schemas.openxmlformats.org/officeDocument/2006/customXml" ds:itemID="{0802A591-21E4-4D03-9A04-9CC887FB67FF}">
  <ds:schemaRefs/>
</ds:datastoreItem>
</file>

<file path=customXml/itemProps3.xml><?xml version="1.0" encoding="utf-8"?>
<ds:datastoreItem xmlns:ds="http://schemas.openxmlformats.org/officeDocument/2006/customXml" ds:itemID="{E1F46927-BF66-423D-BC28-7A4EBF54C8B4}">
  <ds:schemaRefs/>
</ds:datastoreItem>
</file>

<file path=customXml/itemProps4.xml><?xml version="1.0" encoding="utf-8"?>
<ds:datastoreItem xmlns:ds="http://schemas.openxmlformats.org/officeDocument/2006/customXml" ds:itemID="{8CBF6182-05ED-4BD4-8867-B761E9A62B73}">
  <ds:schemaRefs/>
</ds:datastoreItem>
</file>

<file path=customXml/itemProps5.xml><?xml version="1.0" encoding="utf-8"?>
<ds:datastoreItem xmlns:ds="http://schemas.openxmlformats.org/officeDocument/2006/customXml" ds:itemID="{338EB7A2-2A48-4E9F-A542-75FA5E64D748}">
  <ds:schemaRefs/>
</ds:datastoreItem>
</file>

<file path=customXml/itemProps6.xml><?xml version="1.0" encoding="utf-8"?>
<ds:datastoreItem xmlns:ds="http://schemas.openxmlformats.org/officeDocument/2006/customXml" ds:itemID="{F89DA7B8-11B6-4364-88AC-B1D884014930}">
  <ds:schemaRefs/>
</ds:datastoreItem>
</file>

<file path=customXml/itemProps7.xml><?xml version="1.0" encoding="utf-8"?>
<ds:datastoreItem xmlns:ds="http://schemas.openxmlformats.org/officeDocument/2006/customXml" ds:itemID="{16608AD3-2DC6-459F-B476-6AC709005FF2}">
  <ds:schemaRefs/>
</ds:datastoreItem>
</file>

<file path=customXml/itemProps8.xml><?xml version="1.0" encoding="utf-8"?>
<ds:datastoreItem xmlns:ds="http://schemas.openxmlformats.org/officeDocument/2006/customXml" ds:itemID="{DA57C893-1EFA-4C73-BC95-4469D5E0DAF8}">
  <ds:schemaRefs/>
</ds:datastoreItem>
</file>

<file path=customXml/itemProps9.xml><?xml version="1.0" encoding="utf-8"?>
<ds:datastoreItem xmlns:ds="http://schemas.openxmlformats.org/officeDocument/2006/customXml" ds:itemID="{B016D119-E5E3-471A-8F90-B567F38D6C6D}">
  <ds:schemaRefs/>
</ds:datastoreItem>
</file>

<file path=customXml/itemProps10.xml><?xml version="1.0" encoding="utf-8"?>
<ds:datastoreItem xmlns:ds="http://schemas.openxmlformats.org/officeDocument/2006/customXml" ds:itemID="{B8B26C8D-2416-442A-8943-FC3F2C9B24BA}">
  <ds:schemaRefs/>
</ds:datastoreItem>
</file>

<file path=customXml/itemProps11.xml><?xml version="1.0" encoding="utf-8"?>
<ds:datastoreItem xmlns:ds="http://schemas.openxmlformats.org/officeDocument/2006/customXml" ds:itemID="{461EB2D9-7D89-4F78-98B6-22F6D44D49A2}">
  <ds:schemaRefs/>
</ds:datastoreItem>
</file>

<file path=customXml/itemProps12.xml><?xml version="1.0" encoding="utf-8"?>
<ds:datastoreItem xmlns:ds="http://schemas.openxmlformats.org/officeDocument/2006/customXml" ds:itemID="{555BF4CC-BD9F-4258-A8F0-A6AB47CE30B6}">
  <ds:schemaRefs/>
</ds:datastoreItem>
</file>

<file path=customXml/itemProps13.xml><?xml version="1.0" encoding="utf-8"?>
<ds:datastoreItem xmlns:ds="http://schemas.openxmlformats.org/officeDocument/2006/customXml" ds:itemID="{536A841E-07A4-407B-9D08-A930270D1561}">
  <ds:schemaRefs/>
</ds:datastoreItem>
</file>

<file path=customXml/itemProps14.xml><?xml version="1.0" encoding="utf-8"?>
<ds:datastoreItem xmlns:ds="http://schemas.openxmlformats.org/officeDocument/2006/customXml" ds:itemID="{0BC61D0B-AED0-48D3-957B-49CC86C5E1E2}">
  <ds:schemaRefs/>
</ds:datastoreItem>
</file>

<file path=customXml/itemProps15.xml><?xml version="1.0" encoding="utf-8"?>
<ds:datastoreItem xmlns:ds="http://schemas.openxmlformats.org/officeDocument/2006/customXml" ds:itemID="{BC9D3741-2D4F-47F9-ABAB-004DCD73FC18}">
  <ds:schemaRefs/>
</ds:datastoreItem>
</file>

<file path=customXml/itemProps16.xml><?xml version="1.0" encoding="utf-8"?>
<ds:datastoreItem xmlns:ds="http://schemas.openxmlformats.org/officeDocument/2006/customXml" ds:itemID="{A2ACB46B-D367-4A5F-9A0A-0F341F940259}">
  <ds:schemaRefs/>
</ds:datastoreItem>
</file>

<file path=customXml/itemProps17.xml><?xml version="1.0" encoding="utf-8"?>
<ds:datastoreItem xmlns:ds="http://schemas.openxmlformats.org/officeDocument/2006/customXml" ds:itemID="{246B3846-6452-46C6-9AEB-C3005D03E581}">
  <ds:schemaRefs/>
</ds:datastoreItem>
</file>

<file path=customXml/itemProps18.xml><?xml version="1.0" encoding="utf-8"?>
<ds:datastoreItem xmlns:ds="http://schemas.openxmlformats.org/officeDocument/2006/customXml" ds:itemID="{77D202E6-6785-4104-9BDA-3B6A0E704628}">
  <ds:schemaRefs/>
</ds:datastoreItem>
</file>

<file path=customXml/itemProps19.xml><?xml version="1.0" encoding="utf-8"?>
<ds:datastoreItem xmlns:ds="http://schemas.openxmlformats.org/officeDocument/2006/customXml" ds:itemID="{4EAA6503-8F54-41BC-B9F8-836B147AE6C2}">
  <ds:schemaRefs/>
</ds:datastoreItem>
</file>

<file path=customXml/itemProps20.xml><?xml version="1.0" encoding="utf-8"?>
<ds:datastoreItem xmlns:ds="http://schemas.openxmlformats.org/officeDocument/2006/customXml" ds:itemID="{7E3423A7-7EA7-416D-A15F-904D8E3293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</vt:lpstr>
      <vt:lpstr>customer</vt:lpstr>
      <vt:lpstr>store</vt:lpstr>
      <vt:lpstr>sales</vt:lpstr>
      <vt:lpstr>Dashboard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Rathod</dc:creator>
  <cp:lastModifiedBy>MOHIT Rathod</cp:lastModifiedBy>
  <dcterms:created xsi:type="dcterms:W3CDTF">2026-07-30T17:34:53Z</dcterms:created>
  <dcterms:modified xsi:type="dcterms:W3CDTF">2026-08-03T16:42:27Z</dcterms:modified>
</cp:coreProperties>
</file>