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18\Downloads\"/>
    </mc:Choice>
  </mc:AlternateContent>
  <xr:revisionPtr revIDLastSave="0" documentId="13_ncr:1_{4FF9E814-8B9B-41C4-AE4C-781A77F099DF}" xr6:coauthVersionLast="47" xr6:coauthVersionMax="47" xr10:uidLastSave="{00000000-0000-0000-0000-000000000000}"/>
  <bookViews>
    <workbookView xWindow="-110" yWindow="-110" windowWidth="19420" windowHeight="10300" tabRatio="805" activeTab="6" xr2:uid="{00000000-000D-0000-FFFF-FFFF00000000}"/>
  </bookViews>
  <sheets>
    <sheet name="Instructions" sheetId="1" r:id="rId1"/>
    <sheet name="Sheet2" sheetId="7" r:id="rId2"/>
    <sheet name="Sales_Data" sheetId="2" r:id="rId3"/>
    <sheet name="Product_Master" sheetId="3" r:id="rId4"/>
    <sheet name="Student_Marks" sheetId="4" r:id="rId5"/>
    <sheet name="Questions" sheetId="5" r:id="rId6"/>
    <sheet name="Sheet1" sheetId="6" r:id="rId7"/>
  </sheets>
  <definedNames>
    <definedName name="_xlnm._FilterDatabase" localSheetId="6" hidden="1">Sheet1!$A$149:$B$155</definedName>
  </definedNames>
  <calcPr calcId="191029"/>
  <pivotCaches>
    <pivotCache cacheId="37" r:id="rId8"/>
    <pivotCache cacheId="4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7" i="6" l="1"/>
  <c r="C134" i="6"/>
  <c r="C135" i="6"/>
  <c r="C136" i="6"/>
  <c r="C137" i="6"/>
  <c r="C138" i="6"/>
  <c r="C133" i="6"/>
  <c r="D126" i="6"/>
  <c r="D127" i="6"/>
  <c r="D128" i="6"/>
  <c r="D129" i="6"/>
  <c r="D125" i="6"/>
  <c r="B122" i="6"/>
  <c r="B119" i="6"/>
  <c r="E68" i="6"/>
  <c r="E69" i="6"/>
  <c r="E70" i="6"/>
  <c r="E71" i="6"/>
  <c r="E67" i="6"/>
  <c r="C63" i="6"/>
  <c r="K11" i="6" a="1"/>
  <c r="K11" i="6"/>
  <c r="I58" i="6"/>
  <c r="I59" i="6"/>
  <c r="I60" i="6"/>
  <c r="I61" i="6"/>
  <c r="H58" i="6"/>
  <c r="H59" i="6"/>
  <c r="H60" i="6"/>
  <c r="H61" i="6"/>
  <c r="H57" i="6"/>
  <c r="D17" i="6"/>
  <c r="D14" i="6"/>
  <c r="D48" i="6"/>
  <c r="D49" i="6"/>
  <c r="D50" i="6"/>
  <c r="D51" i="6"/>
  <c r="D52" i="6"/>
  <c r="D47" i="6"/>
  <c r="D32" i="6"/>
  <c r="D33" i="6"/>
  <c r="D34" i="6"/>
  <c r="D35" i="6"/>
  <c r="D36" i="6"/>
  <c r="D31" i="6"/>
  <c r="D21" i="6"/>
  <c r="D22" i="6"/>
  <c r="D23" i="6"/>
  <c r="D24" i="6"/>
  <c r="D25" i="6"/>
  <c r="D20" i="6"/>
  <c r="I5" i="6"/>
  <c r="J5" i="6" s="1"/>
  <c r="K5" i="6" s="1"/>
  <c r="D15" i="6" s="1"/>
  <c r="I6" i="6"/>
  <c r="J6" i="6" s="1"/>
  <c r="K6" i="6" s="1"/>
  <c r="I7" i="6"/>
  <c r="J7" i="6" s="1"/>
  <c r="K7" i="6" s="1"/>
  <c r="D16" i="6" s="1"/>
  <c r="I8" i="6"/>
  <c r="J8" i="6" s="1"/>
  <c r="K8" i="6" s="1"/>
  <c r="I9" i="6"/>
  <c r="J9" i="6" s="1"/>
  <c r="K9" i="6" s="1"/>
  <c r="I4" i="6"/>
  <c r="J4" i="6" s="1"/>
  <c r="K4" i="6" s="1"/>
  <c r="J32" i="5"/>
  <c r="D28" i="6" l="1"/>
  <c r="C39" i="6" a="1"/>
  <c r="C39" i="6" s="1"/>
  <c r="C28" i="6"/>
  <c r="K1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<sst xmlns="http://schemas.openxmlformats.org/spreadsheetml/2006/main" count="307" uniqueCount="111">
  <si>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</si>
  <si>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</si>
  <si>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</si>
  <si>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</si>
  <si>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</si>
  <si>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</si>
  <si>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</si>
  <si>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</si>
  <si>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</si>
  <si>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</si>
  <si>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</si>
  <si>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</si>
  <si>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</si>
  <si>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</si>
  <si>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</si>
  <si>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</si>
  <si>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</si>
  <si>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</si>
  <si>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</si>
  <si>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</si>
  <si>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</si>
  <si>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</si>
  <si>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</si>
  <si>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</si>
  <si>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</si>
  <si>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</si>
  <si>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</si>
  <si>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</si>
  <si>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</si>
  <si>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</si>
  <si>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</si>
  <si>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</si>
  <si>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</si>
  <si>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</si>
  <si>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</si>
  <si>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</si>
  <si>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</si>
  <si>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</si>
  <si>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</si>
  <si>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</si>
  <si>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</si>
  <si>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</si>
  <si>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</si>
  <si>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</si>
  <si>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</si>
  <si>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</si>
  <si>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</si>
  <si>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</si>
  <si>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</si>
  <si>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</si>
  <si>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</si>
  <si>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</si>
  <si>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</si>
  <si>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</si>
  <si>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</si>
  <si>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</si>
  <si>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</si>
  <si>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</si>
  <si>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</si>
  <si>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</si>
  <si>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</si>
  <si>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</si>
  <si>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</si>
  <si>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</si>
  <si>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</si>
  <si>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</si>
  <si>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</si>
  <si>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</si>
  <si>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</si>
  <si>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</si>
  <si>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</si>
  <si>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</si>
  <si>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</si>
  <si>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</si>
  <si>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Ans-1</t>
  </si>
  <si>
    <t>Ans-2</t>
  </si>
  <si>
    <t>GST</t>
  </si>
  <si>
    <t>GST Amount</t>
  </si>
  <si>
    <t>Final Amount</t>
  </si>
  <si>
    <t>Ans-3</t>
  </si>
  <si>
    <t>Total</t>
  </si>
  <si>
    <t>Ans-4</t>
  </si>
  <si>
    <t>Ans-5</t>
  </si>
  <si>
    <t>Count</t>
  </si>
  <si>
    <t>Ans-6</t>
  </si>
  <si>
    <t>Total Sale</t>
  </si>
  <si>
    <t>Ans-7</t>
  </si>
  <si>
    <t>Order Id</t>
  </si>
  <si>
    <t>High Or Low</t>
  </si>
  <si>
    <t>Ans-8</t>
  </si>
  <si>
    <t>Maximum</t>
  </si>
  <si>
    <t>Minimum</t>
  </si>
  <si>
    <t>Ans-9</t>
  </si>
  <si>
    <t>Month</t>
  </si>
  <si>
    <t>Ans-10</t>
  </si>
  <si>
    <t>Sort Data Deceding</t>
  </si>
  <si>
    <t>Ans-11</t>
  </si>
  <si>
    <t>Products</t>
  </si>
  <si>
    <t>Ans-12</t>
  </si>
  <si>
    <t>Average Marks</t>
  </si>
  <si>
    <t>Topper</t>
  </si>
  <si>
    <t>Ans-13</t>
  </si>
  <si>
    <t>Eligible</t>
  </si>
  <si>
    <t>Row Labels</t>
  </si>
  <si>
    <t>Grand Total</t>
  </si>
  <si>
    <t>Sum of Unit_Price</t>
  </si>
  <si>
    <t>Sum of Excel</t>
  </si>
  <si>
    <t>Median Of Statistics</t>
  </si>
  <si>
    <t>S.D. Of Excel Marks</t>
  </si>
  <si>
    <t>ID Name</t>
  </si>
  <si>
    <t>2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</si>
</sst>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1" fillId="4" borderId="3" applyNumberFormat="0" applyFont="0" applyAlignment="0" applyProtection="0"/>
    <xf numFmtId="0" fontId="5" fillId="0" borderId="4" applyNumberFormat="0" applyFill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0" xfId="1"/>
    <xf numFmtId="0" fontId="4" fillId="3" borderId="1" xfId="3" applyAlignment="1">
      <alignment horizontal="center"/>
    </xf>
    <xf numFmtId="0" fontId="4" fillId="3" borderId="1" xfId="3"/>
    <xf numFmtId="0" fontId="4" fillId="3" borderId="6" xfId="3" applyBorder="1"/>
    <xf numFmtId="0" fontId="0" fillId="4" borderId="3" xfId="4" applyFont="1"/>
    <xf numFmtId="0" fontId="3" fillId="3" borderId="7" xfId="2" applyBorder="1" applyAlignment="1">
      <alignment horizontal="center"/>
    </xf>
    <xf numFmtId="0" fontId="0" fillId="0" borderId="5" xfId="0" applyBorder="1" applyAlignment="1">
      <alignment horizontal="center"/>
    </xf>
    <xf numFmtId="0" fontId="4" fillId="3" borderId="0" xfId="3" applyBorder="1"/>
    <xf numFmtId="0" fontId="5" fillId="0" borderId="4" xfId="5"/>
    <xf numFmtId="0" fontId="5" fillId="0" borderId="4" xfId="5" applyAlignment="1">
      <alignment horizontal="center"/>
    </xf>
    <xf numFmtId="0" fontId="5" fillId="0" borderId="0" xfId="5" applyFill="1" applyBorder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6">
    <cellStyle name="Calculation" xfId="3" builtinId="22"/>
    <cellStyle name="Good" xfId="1" builtinId="26"/>
    <cellStyle name="Normal" xfId="0" builtinId="0"/>
    <cellStyle name="Note" xfId="4" builtinId="10"/>
    <cellStyle name="Output" xfId="2" builtinId="21"/>
    <cellStyle name="Total" xfId="5" builtinId="2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(1).xlsx]Sheet2!PivotTable9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Sheet2!$A$28:$A$33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Sheet2!$B$28:$B$33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4-4B2B-A32A-55445D98E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62544"/>
        <c:axId val="92467952"/>
      </c:barChart>
      <c:catAx>
        <c:axId val="9246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7952"/>
        <c:crosses val="autoZero"/>
        <c:auto val="1"/>
        <c:lblAlgn val="ctr"/>
        <c:lblOffset val="100"/>
        <c:noMultiLvlLbl val="0"/>
      </c:catAx>
      <c:valAx>
        <c:axId val="924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(1).xlsx]Sheet2!PivotTable8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C0-4B6A-9C16-3286E034DF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C0-4B6A-9C16-3286E034DF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C0-4B6A-9C16-3286E034DFDB}"/>
              </c:ext>
            </c:extLst>
          </c:dPt>
          <c:cat>
            <c:strRef>
              <c:f>Sheet2!$A$12:$A$15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Sheet2!$B$12:$B$15</c:f>
              <c:numCache>
                <c:formatCode>General</c:formatCode>
                <c:ptCount val="3"/>
                <c:pt idx="0">
                  <c:v>135000</c:v>
                </c:pt>
                <c:pt idx="1">
                  <c:v>30000</c:v>
                </c:pt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C0-4B6A-9C16-3286E034D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(1).xlsx]Sheet2!PivotTable9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Sheet2!$A$28:$A$33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Sheet2!$B$28:$B$33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4-4203-800A-D35A11FAD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62544"/>
        <c:axId val="92467952"/>
      </c:barChart>
      <c:catAx>
        <c:axId val="9246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7952"/>
        <c:crosses val="autoZero"/>
        <c:auto val="1"/>
        <c:lblAlgn val="ctr"/>
        <c:lblOffset val="100"/>
        <c:noMultiLvlLbl val="0"/>
      </c:catAx>
      <c:valAx>
        <c:axId val="924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460375</xdr:colOff>
      <xdr:row>15</xdr:row>
      <xdr:rowOff>3175</xdr:rowOff>
    </xdr:from>
    <xdr:to>
      <xdr:col>11</xdr:col>
      <xdr:colOff>269875</xdr:colOff>
      <xdr:row>29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5D0D4-226C-537F-6546-0EFDDC823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0</xdr:rowOff>
    </xdr:from>
    <xdr:to>
      <xdr:col>4</xdr:col>
      <xdr:colOff>133350</xdr:colOff>
      <xdr:row>99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F3D6D-EB01-4DFE-B8B1-0572FB5FF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102</xdr:row>
      <xdr:rowOff>-1</xdr:rowOff>
    </xdr:from>
    <xdr:to>
      <xdr:col>5</xdr:col>
      <xdr:colOff>90715</xdr:colOff>
      <xdr:row>115</xdr:row>
      <xdr:rowOff>36285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374D2-65D1-4DAC-814B-A1186E8D8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8" refreshedDate="46216.522404976851" createdVersion="8" refreshedVersion="8" minRefreshableVersion="3" recordCount="6" xr:uid="{47B27A73-DD61-4CC2-82D4-7E199BAF64F9}">
  <cacheSource type="worksheet">
    <worksheetSource ref="A1:G7" sheet="Sheet2"/>
  </cacheSource>
  <cacheFields count="7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 count="6">
        <s v="05-01-2025"/>
        <s v="07-01-2025"/>
        <s v="10-01-2025"/>
        <s v="12-01-2025"/>
        <s v="15-01-2025"/>
        <s v="18-01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8" refreshedDate="46216.525034259263" createdVersion="8" refreshedVersion="8" minRefreshableVersion="3" recordCount="5" xr:uid="{547FB728-27B7-45DA-8A7B-F6C2F1DF5A8B}">
  <cacheSource type="worksheet">
    <worksheetSource ref="A18:F23" sheet="Sheet2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x v="0"/>
  </r>
  <r>
    <n v="302"/>
    <x v="1"/>
    <s v="Riya"/>
    <x v="1"/>
    <n v="5"/>
    <n v="15000"/>
    <x v="1"/>
  </r>
  <r>
    <n v="303"/>
    <x v="2"/>
    <s v="Kunal"/>
    <x v="2"/>
    <n v="3"/>
    <n v="18000"/>
    <x v="2"/>
  </r>
  <r>
    <n v="304"/>
    <x v="3"/>
    <s v="Neha"/>
    <x v="0"/>
    <n v="1"/>
    <n v="45000"/>
    <x v="3"/>
  </r>
  <r>
    <n v="305"/>
    <x v="0"/>
    <s v="Amit"/>
    <x v="1"/>
    <n v="4"/>
    <n v="15000"/>
    <x v="4"/>
  </r>
  <r>
    <n v="306"/>
    <x v="1"/>
    <s v="Riya"/>
    <x v="0"/>
    <n v="2"/>
    <n v="4500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F1E6B-8340-4964-B6E7-9A31FDF39A23}" name="PivotTable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7:B33" firstHeaderRow="1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EC214-E56E-4CF6-8759-E221653E4284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:B15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56185-47DC-4D65-BB9A-313109007CCD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2:C87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CADED-3DF0-437D-B3EE-995CCC94F11E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4:C78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5" x14ac:dyDescent="0.35"/>
  <sheetData>
    <row r="1" spans="1:1" x14ac:dyDescent="0.35">
      <c r="A1" t="s">
        <v>72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9B56-9685-4ACF-8818-F505CFCF3AAA}">
  <dimension ref="A1:G33"/>
  <sheetViews>
    <sheetView topLeftCell="A13" workbookViewId="0">
      <selection activeCell="A27" sqref="A27"/>
    </sheetView>
  </sheetViews>
  <sheetFormatPr defaultRowHeight="14.5" x14ac:dyDescent="0.35"/>
  <cols>
    <col min="1" max="1" width="12.36328125" bestFit="1" customWidth="1"/>
    <col min="2" max="2" width="11.26953125" bestFit="1" customWidth="1"/>
    <col min="4" max="4" width="12.36328125" bestFit="1" customWidth="1"/>
    <col min="5" max="5" width="15.81640625" bestFit="1" customWidth="1"/>
  </cols>
  <sheetData>
    <row r="1" spans="1:7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  <row r="11" spans="1:7" x14ac:dyDescent="0.35">
      <c r="A11" s="14" t="s">
        <v>103</v>
      </c>
      <c r="B11" t="s">
        <v>105</v>
      </c>
    </row>
    <row r="12" spans="1:7" x14ac:dyDescent="0.35">
      <c r="A12" s="15" t="s">
        <v>13</v>
      </c>
      <c r="B12" s="16">
        <v>135000</v>
      </c>
    </row>
    <row r="13" spans="1:7" x14ac:dyDescent="0.35">
      <c r="A13" s="15" t="s">
        <v>17</v>
      </c>
      <c r="B13" s="16">
        <v>30000</v>
      </c>
    </row>
    <row r="14" spans="1:7" x14ac:dyDescent="0.35">
      <c r="A14" s="15" t="s">
        <v>21</v>
      </c>
      <c r="B14" s="16">
        <v>18000</v>
      </c>
    </row>
    <row r="15" spans="1:7" x14ac:dyDescent="0.35">
      <c r="A15" s="15" t="s">
        <v>104</v>
      </c>
      <c r="B15" s="16">
        <v>183000</v>
      </c>
    </row>
    <row r="18" spans="1:6" x14ac:dyDescent="0.3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</row>
    <row r="19" spans="1:6" x14ac:dyDescent="0.35">
      <c r="A19">
        <v>1</v>
      </c>
      <c r="B19" t="s">
        <v>37</v>
      </c>
      <c r="C19">
        <v>78</v>
      </c>
      <c r="D19">
        <v>82</v>
      </c>
      <c r="E19">
        <v>85</v>
      </c>
      <c r="F19">
        <v>92</v>
      </c>
    </row>
    <row r="20" spans="1:6" x14ac:dyDescent="0.35">
      <c r="A20">
        <v>2</v>
      </c>
      <c r="B20" t="s">
        <v>38</v>
      </c>
      <c r="C20">
        <v>88</v>
      </c>
      <c r="D20">
        <v>91</v>
      </c>
      <c r="E20">
        <v>90</v>
      </c>
      <c r="F20">
        <v>96</v>
      </c>
    </row>
    <row r="21" spans="1:6" x14ac:dyDescent="0.35">
      <c r="A21">
        <v>3</v>
      </c>
      <c r="B21" t="s">
        <v>39</v>
      </c>
      <c r="C21">
        <v>65</v>
      </c>
      <c r="D21">
        <v>70</v>
      </c>
      <c r="E21">
        <v>72</v>
      </c>
      <c r="F21">
        <v>85</v>
      </c>
    </row>
    <row r="22" spans="1:6" x14ac:dyDescent="0.35">
      <c r="A22">
        <v>4</v>
      </c>
      <c r="B22" t="s">
        <v>40</v>
      </c>
      <c r="C22">
        <v>92</v>
      </c>
      <c r="D22">
        <v>89</v>
      </c>
      <c r="E22">
        <v>94</v>
      </c>
      <c r="F22">
        <v>98</v>
      </c>
    </row>
    <row r="23" spans="1:6" x14ac:dyDescent="0.35">
      <c r="A23">
        <v>5</v>
      </c>
      <c r="B23" t="s">
        <v>41</v>
      </c>
      <c r="C23">
        <v>55</v>
      </c>
      <c r="D23">
        <v>60</v>
      </c>
      <c r="E23">
        <v>58</v>
      </c>
      <c r="F23">
        <v>80</v>
      </c>
    </row>
    <row r="27" spans="1:6" x14ac:dyDescent="0.35">
      <c r="A27" s="14" t="s">
        <v>103</v>
      </c>
      <c r="B27" t="s">
        <v>106</v>
      </c>
    </row>
    <row r="28" spans="1:6" x14ac:dyDescent="0.35">
      <c r="A28" s="15" t="s">
        <v>39</v>
      </c>
      <c r="B28" s="16">
        <v>72</v>
      </c>
    </row>
    <row r="29" spans="1:6" x14ac:dyDescent="0.35">
      <c r="A29" s="15" t="s">
        <v>40</v>
      </c>
      <c r="B29" s="16">
        <v>94</v>
      </c>
    </row>
    <row r="30" spans="1:6" x14ac:dyDescent="0.35">
      <c r="A30" s="15" t="s">
        <v>37</v>
      </c>
      <c r="B30" s="16">
        <v>85</v>
      </c>
    </row>
    <row r="31" spans="1:6" x14ac:dyDescent="0.35">
      <c r="A31" s="15" t="s">
        <v>38</v>
      </c>
      <c r="B31" s="16">
        <v>90</v>
      </c>
    </row>
    <row r="32" spans="1:6" x14ac:dyDescent="0.35">
      <c r="A32" s="15" t="s">
        <v>41</v>
      </c>
      <c r="B32" s="16">
        <v>58</v>
      </c>
    </row>
    <row r="33" spans="1:2" x14ac:dyDescent="0.35">
      <c r="A33" s="15" t="s">
        <v>104</v>
      </c>
      <c r="B33" s="16">
        <v>399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1" sqref="C1:C7"/>
    </sheetView>
  </sheetViews>
  <sheetFormatPr defaultRowHeight="14.5" x14ac:dyDescent="0.35"/>
  <sheetData>
    <row r="1" spans="1:7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5" x14ac:dyDescent="0.35"/>
  <sheetData>
    <row r="1" spans="1:3" x14ac:dyDescent="0.35">
      <c r="A1" t="s">
        <v>7</v>
      </c>
      <c r="B1" t="s">
        <v>28</v>
      </c>
      <c r="C1" t="s">
        <v>29</v>
      </c>
    </row>
    <row r="2" spans="1:3" x14ac:dyDescent="0.35">
      <c r="A2" t="s">
        <v>13</v>
      </c>
      <c r="B2" t="s">
        <v>30</v>
      </c>
      <c r="C2">
        <v>18</v>
      </c>
    </row>
    <row r="3" spans="1:3" x14ac:dyDescent="0.35">
      <c r="A3" t="s">
        <v>17</v>
      </c>
      <c r="B3" t="s">
        <v>30</v>
      </c>
      <c r="C3">
        <v>12</v>
      </c>
    </row>
    <row r="4" spans="1:3" x14ac:dyDescent="0.3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4.5" x14ac:dyDescent="0.35"/>
  <sheetData>
    <row r="1" spans="1:6" x14ac:dyDescent="0.3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3" workbookViewId="0">
      <selection activeCell="A25" sqref="A25"/>
    </sheetView>
  </sheetViews>
  <sheetFormatPr defaultRowHeight="14.5" x14ac:dyDescent="0.35"/>
  <cols>
    <col min="1" max="1" width="57.90625" bestFit="1" customWidth="1"/>
    <col min="10" max="10" width="2.81640625" bestFit="1" customWidth="1"/>
  </cols>
  <sheetData>
    <row r="1" spans="1:10" x14ac:dyDescent="0.35">
      <c r="A1" t="s">
        <v>42</v>
      </c>
      <c r="J1">
        <v>2</v>
      </c>
    </row>
    <row r="2" spans="1:10" x14ac:dyDescent="0.35">
      <c r="A2" t="s">
        <v>43</v>
      </c>
      <c r="J2">
        <v>2</v>
      </c>
    </row>
    <row r="3" spans="1:10" x14ac:dyDescent="0.35">
      <c r="A3" t="s">
        <v>44</v>
      </c>
      <c r="J3">
        <v>2</v>
      </c>
    </row>
    <row r="4" spans="1:10" x14ac:dyDescent="0.35">
      <c r="A4" t="s">
        <v>45</v>
      </c>
      <c r="J4">
        <v>2</v>
      </c>
    </row>
    <row r="5" spans="1:10" x14ac:dyDescent="0.35">
      <c r="A5" t="s">
        <v>46</v>
      </c>
      <c r="J5">
        <v>2</v>
      </c>
    </row>
    <row r="6" spans="1:10" x14ac:dyDescent="0.35">
      <c r="A6" t="s">
        <v>47</v>
      </c>
      <c r="J6">
        <v>2</v>
      </c>
    </row>
    <row r="7" spans="1:10" x14ac:dyDescent="0.35">
      <c r="A7" t="s">
        <v>48</v>
      </c>
      <c r="J7">
        <v>2</v>
      </c>
    </row>
    <row r="8" spans="1:10" x14ac:dyDescent="0.35">
      <c r="A8" t="s">
        <v>49</v>
      </c>
      <c r="J8">
        <v>2</v>
      </c>
    </row>
    <row r="9" spans="1:10" x14ac:dyDescent="0.35">
      <c r="A9" t="s">
        <v>50</v>
      </c>
      <c r="J9">
        <v>2</v>
      </c>
    </row>
    <row r="10" spans="1:10" x14ac:dyDescent="0.35">
      <c r="A10" t="s">
        <v>51</v>
      </c>
      <c r="J10">
        <v>2</v>
      </c>
    </row>
    <row r="11" spans="1:10" x14ac:dyDescent="0.35">
      <c r="A11" t="s">
        <v>52</v>
      </c>
      <c r="J11">
        <v>2</v>
      </c>
    </row>
    <row r="12" spans="1:10" x14ac:dyDescent="0.35">
      <c r="A12" t="s">
        <v>53</v>
      </c>
      <c r="J12">
        <v>2</v>
      </c>
    </row>
    <row r="13" spans="1:10" x14ac:dyDescent="0.35">
      <c r="A13" t="s">
        <v>54</v>
      </c>
      <c r="J13">
        <v>2</v>
      </c>
    </row>
    <row r="14" spans="1:10" x14ac:dyDescent="0.35">
      <c r="A14" t="s">
        <v>55</v>
      </c>
      <c r="J14">
        <v>2</v>
      </c>
    </row>
    <row r="15" spans="1:10" x14ac:dyDescent="0.35">
      <c r="A15" t="s">
        <v>56</v>
      </c>
      <c r="J15">
        <v>2</v>
      </c>
    </row>
    <row r="16" spans="1:10" x14ac:dyDescent="0.35">
      <c r="A16" t="s">
        <v>57</v>
      </c>
      <c r="J16">
        <v>2</v>
      </c>
    </row>
    <row r="17" spans="1:10" x14ac:dyDescent="0.35">
      <c r="A17" t="s">
        <v>58</v>
      </c>
      <c r="J17">
        <v>2</v>
      </c>
    </row>
    <row r="18" spans="1:10" x14ac:dyDescent="0.35">
      <c r="A18" t="s">
        <v>59</v>
      </c>
      <c r="J18">
        <v>2</v>
      </c>
    </row>
    <row r="19" spans="1:10" x14ac:dyDescent="0.35">
      <c r="A19" t="s">
        <v>60</v>
      </c>
      <c r="J19">
        <v>2</v>
      </c>
    </row>
    <row r="20" spans="1:10" x14ac:dyDescent="0.35">
      <c r="A20" t="s">
        <v>61</v>
      </c>
      <c r="J20">
        <v>2</v>
      </c>
    </row>
    <row r="21" spans="1:10" x14ac:dyDescent="0.35">
      <c r="A21" t="s">
        <v>62</v>
      </c>
      <c r="J21">
        <v>2</v>
      </c>
    </row>
    <row r="22" spans="1:10" x14ac:dyDescent="0.35">
      <c r="A22" t="s">
        <v>63</v>
      </c>
      <c r="J22">
        <v>2</v>
      </c>
    </row>
    <row r="23" spans="1:10" x14ac:dyDescent="0.35">
      <c r="A23" t="s">
        <v>64</v>
      </c>
      <c r="J23">
        <v>2</v>
      </c>
    </row>
    <row r="24" spans="1:10" x14ac:dyDescent="0.35">
      <c r="A24" t="s">
        <v>65</v>
      </c>
      <c r="J24">
        <v>2</v>
      </c>
    </row>
    <row r="25" spans="1:10" x14ac:dyDescent="0.35">
      <c r="A25" t="s">
        <v>66</v>
      </c>
      <c r="J25">
        <v>2</v>
      </c>
    </row>
    <row r="26" spans="1:10" x14ac:dyDescent="0.35">
      <c r="A26" t="s">
        <v>67</v>
      </c>
      <c r="J26">
        <v>2</v>
      </c>
    </row>
    <row r="27" spans="1:10" x14ac:dyDescent="0.35">
      <c r="A27" t="s">
        <v>68</v>
      </c>
      <c r="J27">
        <v>2</v>
      </c>
    </row>
    <row r="28" spans="1:10" x14ac:dyDescent="0.35">
      <c r="A28" t="s">
        <v>69</v>
      </c>
      <c r="J28">
        <v>2</v>
      </c>
    </row>
    <row r="29" spans="1:10" x14ac:dyDescent="0.35">
      <c r="A29" t="s">
        <v>70</v>
      </c>
      <c r="J29">
        <v>2</v>
      </c>
    </row>
    <row r="30" spans="1:10" x14ac:dyDescent="0.35">
      <c r="A30" t="s">
        <v>71</v>
      </c>
      <c r="J30">
        <v>2</v>
      </c>
    </row>
    <row r="32" spans="1:10" x14ac:dyDescent="0.35">
      <c r="J32">
        <f>SUM(J1:J30)</f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E34F-E5C8-437A-BFD0-B9D5B600F43C}">
  <dimension ref="A1:M155"/>
  <sheetViews>
    <sheetView tabSelected="1" topLeftCell="A37" zoomScale="55" zoomScaleNormal="55" workbookViewId="0">
      <selection activeCell="B149" sqref="B149:B155"/>
    </sheetView>
  </sheetViews>
  <sheetFormatPr defaultRowHeight="14.5" x14ac:dyDescent="0.35"/>
  <cols>
    <col min="1" max="1" width="54.26953125" bestFit="1" customWidth="1"/>
    <col min="2" max="2" width="10.08984375" bestFit="1" customWidth="1"/>
    <col min="3" max="3" width="16.7265625" bestFit="1" customWidth="1"/>
    <col min="4" max="4" width="10.90625" bestFit="1" customWidth="1"/>
    <col min="5" max="6" width="8" bestFit="1" customWidth="1"/>
    <col min="7" max="7" width="12.90625" bestFit="1" customWidth="1"/>
    <col min="8" max="8" width="13.26953125" bestFit="1" customWidth="1"/>
    <col min="9" max="9" width="9.6328125" bestFit="1" customWidth="1"/>
    <col min="10" max="10" width="11.1796875" bestFit="1" customWidth="1"/>
    <col min="11" max="11" width="11.90625" bestFit="1" customWidth="1"/>
    <col min="12" max="12" width="7.26953125" bestFit="1" customWidth="1"/>
    <col min="13" max="13" width="4.81640625" bestFit="1" customWidth="1"/>
  </cols>
  <sheetData>
    <row r="1" spans="1:13" x14ac:dyDescent="0.35">
      <c r="A1" t="s">
        <v>42</v>
      </c>
    </row>
    <row r="2" spans="1:13" x14ac:dyDescent="0.35">
      <c r="A2" t="s">
        <v>43</v>
      </c>
      <c r="I2" t="s">
        <v>74</v>
      </c>
      <c r="J2" t="s">
        <v>75</v>
      </c>
      <c r="K2" t="s">
        <v>79</v>
      </c>
    </row>
    <row r="3" spans="1:13" x14ac:dyDescent="0.35">
      <c r="A3" t="s">
        <v>44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1" t="s">
        <v>73</v>
      </c>
      <c r="J3" s="1" t="s">
        <v>77</v>
      </c>
      <c r="K3" s="1" t="s">
        <v>78</v>
      </c>
      <c r="L3" s="6" t="s">
        <v>7</v>
      </c>
      <c r="M3" s="6" t="s">
        <v>76</v>
      </c>
    </row>
    <row r="4" spans="1:13" x14ac:dyDescent="0.35">
      <c r="B4" s="8">
        <v>301</v>
      </c>
      <c r="C4" s="8" t="s">
        <v>11</v>
      </c>
      <c r="D4" s="8" t="s">
        <v>12</v>
      </c>
      <c r="E4" s="8" t="s">
        <v>13</v>
      </c>
      <c r="F4" s="8">
        <v>2</v>
      </c>
      <c r="G4" s="8">
        <v>45000</v>
      </c>
      <c r="H4" s="8" t="s">
        <v>14</v>
      </c>
      <c r="I4" s="7">
        <f>PRODUCT(F4*G4)</f>
        <v>90000</v>
      </c>
      <c r="J4" s="3">
        <f>I4*VLOOKUP(E4,$L$4:$M$6,2,FALSE)</f>
        <v>16200</v>
      </c>
      <c r="K4" s="5">
        <f>SUM(I4:J4)</f>
        <v>106200</v>
      </c>
      <c r="L4" s="6" t="s">
        <v>13</v>
      </c>
      <c r="M4" s="6">
        <v>0.18</v>
      </c>
    </row>
    <row r="5" spans="1:13" x14ac:dyDescent="0.35">
      <c r="B5" s="8">
        <v>302</v>
      </c>
      <c r="C5" s="8" t="s">
        <v>15</v>
      </c>
      <c r="D5" s="8" t="s">
        <v>16</v>
      </c>
      <c r="E5" s="8" t="s">
        <v>17</v>
      </c>
      <c r="F5" s="8">
        <v>5</v>
      </c>
      <c r="G5" s="8">
        <v>15000</v>
      </c>
      <c r="H5" s="8" t="s">
        <v>18</v>
      </c>
      <c r="I5" s="7">
        <f t="shared" ref="I5:I9" si="0">PRODUCT(F5*G5)</f>
        <v>75000</v>
      </c>
      <c r="J5" s="3">
        <f t="shared" ref="J5:J9" si="1">I5*VLOOKUP(E5,$L$4:$M$6,2,FALSE)</f>
        <v>9000</v>
      </c>
      <c r="K5" s="5">
        <f t="shared" ref="K5:K9" si="2">SUM(I5:J5)</f>
        <v>84000</v>
      </c>
      <c r="L5" s="6" t="s">
        <v>17</v>
      </c>
      <c r="M5" s="6">
        <v>0.12</v>
      </c>
    </row>
    <row r="6" spans="1:13" x14ac:dyDescent="0.35">
      <c r="B6" s="8">
        <v>303</v>
      </c>
      <c r="C6" s="8" t="s">
        <v>19</v>
      </c>
      <c r="D6" s="8" t="s">
        <v>20</v>
      </c>
      <c r="E6" s="8" t="s">
        <v>21</v>
      </c>
      <c r="F6" s="8">
        <v>3</v>
      </c>
      <c r="G6" s="8">
        <v>18000</v>
      </c>
      <c r="H6" s="8" t="s">
        <v>22</v>
      </c>
      <c r="I6" s="7">
        <f t="shared" si="0"/>
        <v>54000</v>
      </c>
      <c r="J6" s="3">
        <f t="shared" si="1"/>
        <v>6480</v>
      </c>
      <c r="K6" s="5">
        <f t="shared" si="2"/>
        <v>60480</v>
      </c>
      <c r="L6" s="6" t="s">
        <v>21</v>
      </c>
      <c r="M6" s="6">
        <v>0.12</v>
      </c>
    </row>
    <row r="7" spans="1:13" x14ac:dyDescent="0.35">
      <c r="B7" s="8">
        <v>304</v>
      </c>
      <c r="C7" s="8" t="s">
        <v>23</v>
      </c>
      <c r="D7" s="8" t="s">
        <v>24</v>
      </c>
      <c r="E7" s="8" t="s">
        <v>13</v>
      </c>
      <c r="F7" s="8">
        <v>1</v>
      </c>
      <c r="G7" s="8">
        <v>45000</v>
      </c>
      <c r="H7" s="8" t="s">
        <v>25</v>
      </c>
      <c r="I7" s="7">
        <f t="shared" si="0"/>
        <v>45000</v>
      </c>
      <c r="J7" s="3">
        <f t="shared" si="1"/>
        <v>8100</v>
      </c>
      <c r="K7" s="4">
        <f t="shared" si="2"/>
        <v>53100</v>
      </c>
    </row>
    <row r="8" spans="1:13" x14ac:dyDescent="0.35">
      <c r="B8" s="8">
        <v>305</v>
      </c>
      <c r="C8" s="8" t="s">
        <v>11</v>
      </c>
      <c r="D8" s="8" t="s">
        <v>12</v>
      </c>
      <c r="E8" s="8" t="s">
        <v>17</v>
      </c>
      <c r="F8" s="8">
        <v>4</v>
      </c>
      <c r="G8" s="8">
        <v>15000</v>
      </c>
      <c r="H8" s="8" t="s">
        <v>26</v>
      </c>
      <c r="I8" s="7">
        <f t="shared" si="0"/>
        <v>60000</v>
      </c>
      <c r="J8" s="3">
        <f t="shared" si="1"/>
        <v>7200</v>
      </c>
      <c r="K8" s="4">
        <f t="shared" si="2"/>
        <v>67200</v>
      </c>
    </row>
    <row r="9" spans="1:13" x14ac:dyDescent="0.35">
      <c r="B9" s="8">
        <v>306</v>
      </c>
      <c r="C9" s="8" t="s">
        <v>15</v>
      </c>
      <c r="D9" s="8" t="s">
        <v>16</v>
      </c>
      <c r="E9" s="8" t="s">
        <v>13</v>
      </c>
      <c r="F9" s="8">
        <v>2</v>
      </c>
      <c r="G9" s="8">
        <v>45000</v>
      </c>
      <c r="H9" s="8" t="s">
        <v>27</v>
      </c>
      <c r="I9" s="7">
        <f t="shared" si="0"/>
        <v>90000</v>
      </c>
      <c r="J9" s="3">
        <f t="shared" si="1"/>
        <v>16200</v>
      </c>
      <c r="K9" s="4">
        <f t="shared" si="2"/>
        <v>106200</v>
      </c>
    </row>
    <row r="10" spans="1:13" x14ac:dyDescent="0.35">
      <c r="A10" t="s">
        <v>45</v>
      </c>
      <c r="I10" t="s">
        <v>81</v>
      </c>
      <c r="J10" t="s">
        <v>80</v>
      </c>
      <c r="K10" s="2">
        <f>SUM(K4:K9)</f>
        <v>477180</v>
      </c>
    </row>
    <row r="11" spans="1:13" x14ac:dyDescent="0.35">
      <c r="A11" t="s">
        <v>46</v>
      </c>
      <c r="I11" t="s">
        <v>82</v>
      </c>
      <c r="J11" t="s">
        <v>83</v>
      </c>
      <c r="K11" s="9" cm="1">
        <f t="array" ref="K11">COUNTA(B4:B9*F4:F9)</f>
        <v>6</v>
      </c>
    </row>
    <row r="13" spans="1:13" ht="15" thickBot="1" x14ac:dyDescent="0.4">
      <c r="A13" t="s">
        <v>47</v>
      </c>
      <c r="B13" s="10" t="s">
        <v>84</v>
      </c>
      <c r="C13" s="10" t="s">
        <v>5</v>
      </c>
      <c r="D13" s="10" t="s">
        <v>85</v>
      </c>
    </row>
    <row r="14" spans="1:13" ht="15.5" thickTop="1" thickBot="1" x14ac:dyDescent="0.4">
      <c r="B14" s="10"/>
      <c r="C14" s="11" t="s">
        <v>11</v>
      </c>
      <c r="D14" s="10">
        <f>SUMIF($C$4:$C$9,C14,$K$4:$K$9)</f>
        <v>173400</v>
      </c>
    </row>
    <row r="15" spans="1:13" ht="15.5" thickTop="1" thickBot="1" x14ac:dyDescent="0.4">
      <c r="B15" s="10"/>
      <c r="C15" s="11" t="s">
        <v>15</v>
      </c>
      <c r="D15" s="10">
        <f t="shared" ref="D15:D17" si="3">SUMIF($C$4:$C$9,C15,$K$4:$K$9)</f>
        <v>190200</v>
      </c>
    </row>
    <row r="16" spans="1:13" ht="15.5" thickTop="1" thickBot="1" x14ac:dyDescent="0.4">
      <c r="B16" s="10"/>
      <c r="C16" s="11" t="s">
        <v>23</v>
      </c>
      <c r="D16" s="10">
        <f t="shared" si="3"/>
        <v>53100</v>
      </c>
    </row>
    <row r="17" spans="1:4" ht="15.5" thickTop="1" thickBot="1" x14ac:dyDescent="0.4">
      <c r="B17" s="10"/>
      <c r="C17" s="11" t="s">
        <v>19</v>
      </c>
      <c r="D17" s="10">
        <f>SUMIF($C$4:$C$9,C17,$K$4:$K$9)</f>
        <v>60480</v>
      </c>
    </row>
    <row r="18" spans="1:4" ht="15" thickTop="1" x14ac:dyDescent="0.35"/>
    <row r="19" spans="1:4" x14ac:dyDescent="0.35">
      <c r="A19" t="s">
        <v>48</v>
      </c>
      <c r="B19" t="s">
        <v>86</v>
      </c>
      <c r="C19" s="12" t="s">
        <v>87</v>
      </c>
      <c r="D19" t="s">
        <v>88</v>
      </c>
    </row>
    <row r="20" spans="1:4" x14ac:dyDescent="0.35">
      <c r="C20" s="8">
        <v>301</v>
      </c>
      <c r="D20" t="str">
        <f>IF(F4&gt;3,"High","Low")</f>
        <v>Low</v>
      </c>
    </row>
    <row r="21" spans="1:4" x14ac:dyDescent="0.35">
      <c r="C21" s="8">
        <v>302</v>
      </c>
      <c r="D21" t="str">
        <f t="shared" ref="D21:D25" si="4">IF(F5&gt;3,"High","Low")</f>
        <v>High</v>
      </c>
    </row>
    <row r="22" spans="1:4" x14ac:dyDescent="0.35">
      <c r="C22" s="8">
        <v>303</v>
      </c>
      <c r="D22" t="str">
        <f t="shared" si="4"/>
        <v>Low</v>
      </c>
    </row>
    <row r="23" spans="1:4" x14ac:dyDescent="0.35">
      <c r="C23" s="8">
        <v>304</v>
      </c>
      <c r="D23" t="str">
        <f t="shared" si="4"/>
        <v>Low</v>
      </c>
    </row>
    <row r="24" spans="1:4" x14ac:dyDescent="0.35">
      <c r="C24" s="8">
        <v>305</v>
      </c>
      <c r="D24" t="str">
        <f t="shared" si="4"/>
        <v>High</v>
      </c>
    </row>
    <row r="25" spans="1:4" x14ac:dyDescent="0.35">
      <c r="C25" s="8">
        <v>306</v>
      </c>
      <c r="D25" t="str">
        <f t="shared" si="4"/>
        <v>Low</v>
      </c>
    </row>
    <row r="27" spans="1:4" x14ac:dyDescent="0.35">
      <c r="A27" t="s">
        <v>49</v>
      </c>
      <c r="B27" t="s">
        <v>89</v>
      </c>
      <c r="C27" t="s">
        <v>90</v>
      </c>
      <c r="D27" t="s">
        <v>91</v>
      </c>
    </row>
    <row r="28" spans="1:4" x14ac:dyDescent="0.35">
      <c r="C28">
        <f>MAX($K$4:$K$9)</f>
        <v>106200</v>
      </c>
      <c r="D28">
        <f>MIN($K$4:$K$9)</f>
        <v>53100</v>
      </c>
    </row>
    <row r="30" spans="1:4" x14ac:dyDescent="0.35">
      <c r="A30" t="s">
        <v>50</v>
      </c>
      <c r="B30" t="s">
        <v>92</v>
      </c>
      <c r="C30" s="12" t="s">
        <v>87</v>
      </c>
      <c r="D30" t="s">
        <v>93</v>
      </c>
    </row>
    <row r="31" spans="1:4" x14ac:dyDescent="0.35">
      <c r="C31" s="8">
        <v>301</v>
      </c>
      <c r="D31">
        <f>MONTH(H4)</f>
        <v>1</v>
      </c>
    </row>
    <row r="32" spans="1:4" x14ac:dyDescent="0.35">
      <c r="C32" s="8">
        <v>302</v>
      </c>
      <c r="D32">
        <f t="shared" ref="D32:D36" si="5">MONTH(H5)</f>
        <v>1</v>
      </c>
    </row>
    <row r="33" spans="1:9" x14ac:dyDescent="0.35">
      <c r="C33" s="8">
        <v>303</v>
      </c>
      <c r="D33">
        <f t="shared" si="5"/>
        <v>1</v>
      </c>
    </row>
    <row r="34" spans="1:9" x14ac:dyDescent="0.35">
      <c r="C34" s="8">
        <v>304</v>
      </c>
      <c r="D34">
        <f t="shared" si="5"/>
        <v>1</v>
      </c>
    </row>
    <row r="35" spans="1:9" x14ac:dyDescent="0.35">
      <c r="C35" s="8">
        <v>305</v>
      </c>
      <c r="D35">
        <f t="shared" si="5"/>
        <v>1</v>
      </c>
    </row>
    <row r="36" spans="1:9" x14ac:dyDescent="0.35">
      <c r="C36" s="8">
        <v>306</v>
      </c>
      <c r="D36">
        <f t="shared" si="5"/>
        <v>1</v>
      </c>
    </row>
    <row r="38" spans="1:9" x14ac:dyDescent="0.35">
      <c r="A38" t="s">
        <v>51</v>
      </c>
      <c r="B38" t="s">
        <v>94</v>
      </c>
      <c r="C38" t="s">
        <v>95</v>
      </c>
    </row>
    <row r="39" spans="1:9" x14ac:dyDescent="0.35">
      <c r="C39" cm="1">
        <f t="array" ref="C39:C44">_xlfn._xlws.SORT($K$4:$K$9,,)</f>
        <v>53100</v>
      </c>
    </row>
    <row r="40" spans="1:9" x14ac:dyDescent="0.35">
      <c r="C40">
        <v>60480</v>
      </c>
    </row>
    <row r="41" spans="1:9" x14ac:dyDescent="0.35">
      <c r="C41">
        <v>67200</v>
      </c>
    </row>
    <row r="42" spans="1:9" x14ac:dyDescent="0.35">
      <c r="C42">
        <v>84000</v>
      </c>
    </row>
    <row r="43" spans="1:9" x14ac:dyDescent="0.35">
      <c r="C43">
        <v>106200</v>
      </c>
    </row>
    <row r="44" spans="1:9" x14ac:dyDescent="0.35">
      <c r="C44">
        <v>106200</v>
      </c>
    </row>
    <row r="46" spans="1:9" x14ac:dyDescent="0.35">
      <c r="A46" t="s">
        <v>52</v>
      </c>
      <c r="B46" t="s">
        <v>96</v>
      </c>
      <c r="C46" t="s">
        <v>97</v>
      </c>
      <c r="D46" t="s">
        <v>28</v>
      </c>
      <c r="G46" t="s">
        <v>7</v>
      </c>
      <c r="H46" t="s">
        <v>28</v>
      </c>
      <c r="I46" t="s">
        <v>29</v>
      </c>
    </row>
    <row r="47" spans="1:9" x14ac:dyDescent="0.35">
      <c r="C47" s="8" t="s">
        <v>13</v>
      </c>
      <c r="D47" t="str">
        <f>INDEX($H$47:$H$49,MATCH(C47,$G$47:$G$49,0))</f>
        <v>Electronics</v>
      </c>
      <c r="G47" t="s">
        <v>13</v>
      </c>
      <c r="H47" t="s">
        <v>30</v>
      </c>
      <c r="I47">
        <v>18</v>
      </c>
    </row>
    <row r="48" spans="1:9" x14ac:dyDescent="0.35">
      <c r="C48" s="8" t="s">
        <v>17</v>
      </c>
      <c r="D48" t="str">
        <f t="shared" ref="D48:D52" si="6">INDEX($H$47:$H$49,MATCH(C48,$G$47:$G$49,0))</f>
        <v>Electronics</v>
      </c>
      <c r="G48" t="s">
        <v>17</v>
      </c>
      <c r="H48" t="s">
        <v>30</v>
      </c>
      <c r="I48">
        <v>12</v>
      </c>
    </row>
    <row r="49" spans="1:9" x14ac:dyDescent="0.35">
      <c r="C49" s="8" t="s">
        <v>21</v>
      </c>
      <c r="D49" t="str">
        <f t="shared" si="6"/>
        <v>Electronics</v>
      </c>
      <c r="G49" t="s">
        <v>21</v>
      </c>
      <c r="H49" t="s">
        <v>30</v>
      </c>
      <c r="I49">
        <v>12</v>
      </c>
    </row>
    <row r="50" spans="1:9" x14ac:dyDescent="0.35">
      <c r="C50" s="8" t="s">
        <v>13</v>
      </c>
      <c r="D50" t="str">
        <f t="shared" si="6"/>
        <v>Electronics</v>
      </c>
    </row>
    <row r="51" spans="1:9" x14ac:dyDescent="0.35">
      <c r="C51" s="8" t="s">
        <v>17</v>
      </c>
      <c r="D51" t="str">
        <f t="shared" si="6"/>
        <v>Electronics</v>
      </c>
    </row>
    <row r="52" spans="1:9" x14ac:dyDescent="0.35">
      <c r="C52" s="8" t="s">
        <v>13</v>
      </c>
      <c r="D52" t="str">
        <f t="shared" si="6"/>
        <v>Electronics</v>
      </c>
    </row>
    <row r="55" spans="1:9" x14ac:dyDescent="0.35">
      <c r="A55" t="s">
        <v>53</v>
      </c>
      <c r="H55" t="s">
        <v>98</v>
      </c>
      <c r="I55" t="s">
        <v>101</v>
      </c>
    </row>
    <row r="56" spans="1:9" x14ac:dyDescent="0.35">
      <c r="A56" t="s">
        <v>54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 t="s">
        <v>36</v>
      </c>
      <c r="H56" t="s">
        <v>99</v>
      </c>
      <c r="I56" t="s">
        <v>100</v>
      </c>
    </row>
    <row r="57" spans="1:9" x14ac:dyDescent="0.35">
      <c r="B57">
        <v>1</v>
      </c>
      <c r="C57" t="s">
        <v>37</v>
      </c>
      <c r="D57">
        <v>78</v>
      </c>
      <c r="E57">
        <v>82</v>
      </c>
      <c r="F57">
        <v>85</v>
      </c>
      <c r="G57">
        <v>92</v>
      </c>
      <c r="H57" s="13">
        <f>AVERAGE(D57:F57)</f>
        <v>81.666666666666671</v>
      </c>
      <c r="I57" t="str">
        <f>IF(H57=MAX($H$57:$H$61),"Topper","Not")</f>
        <v>Not</v>
      </c>
    </row>
    <row r="58" spans="1:9" x14ac:dyDescent="0.35">
      <c r="B58">
        <v>2</v>
      </c>
      <c r="C58" t="s">
        <v>38</v>
      </c>
      <c r="D58">
        <v>88</v>
      </c>
      <c r="E58">
        <v>91</v>
      </c>
      <c r="F58">
        <v>90</v>
      </c>
      <c r="G58">
        <v>96</v>
      </c>
      <c r="H58" s="13">
        <f t="shared" ref="H58:H61" si="7">AVERAGE(D58:F58)</f>
        <v>89.666666666666671</v>
      </c>
      <c r="I58" t="str">
        <f t="shared" ref="I58:I61" si="8">IF(H58=MAX($H$57:$H$61),"Topper","Not")</f>
        <v>Not</v>
      </c>
    </row>
    <row r="59" spans="1:9" x14ac:dyDescent="0.35">
      <c r="B59">
        <v>3</v>
      </c>
      <c r="C59" t="s">
        <v>39</v>
      </c>
      <c r="D59">
        <v>65</v>
      </c>
      <c r="E59">
        <v>70</v>
      </c>
      <c r="F59">
        <v>72</v>
      </c>
      <c r="G59">
        <v>85</v>
      </c>
      <c r="H59" s="13">
        <f t="shared" si="7"/>
        <v>69</v>
      </c>
      <c r="I59" t="str">
        <f t="shared" si="8"/>
        <v>Not</v>
      </c>
    </row>
    <row r="60" spans="1:9" x14ac:dyDescent="0.35">
      <c r="B60">
        <v>4</v>
      </c>
      <c r="C60" t="s">
        <v>40</v>
      </c>
      <c r="D60">
        <v>92</v>
      </c>
      <c r="E60">
        <v>89</v>
      </c>
      <c r="F60">
        <v>94</v>
      </c>
      <c r="G60">
        <v>98</v>
      </c>
      <c r="H60" s="13">
        <f t="shared" si="7"/>
        <v>91.666666666666671</v>
      </c>
      <c r="I60" t="str">
        <f t="shared" si="8"/>
        <v>Topper</v>
      </c>
    </row>
    <row r="61" spans="1:9" x14ac:dyDescent="0.35">
      <c r="B61">
        <v>5</v>
      </c>
      <c r="C61" t="s">
        <v>41</v>
      </c>
      <c r="D61">
        <v>55</v>
      </c>
      <c r="E61">
        <v>60</v>
      </c>
      <c r="F61">
        <v>58</v>
      </c>
      <c r="G61">
        <v>80</v>
      </c>
      <c r="H61" s="13">
        <f t="shared" si="7"/>
        <v>57.666666666666664</v>
      </c>
      <c r="I61" t="str">
        <f t="shared" si="8"/>
        <v>Not</v>
      </c>
    </row>
    <row r="63" spans="1:9" x14ac:dyDescent="0.35">
      <c r="A63" t="s">
        <v>55</v>
      </c>
      <c r="B63" t="s">
        <v>83</v>
      </c>
      <c r="C63">
        <f>COUNTIF(G57:G61,"&gt;90")</f>
        <v>3</v>
      </c>
    </row>
    <row r="66" spans="1:5" x14ac:dyDescent="0.35">
      <c r="A66" t="s">
        <v>56</v>
      </c>
      <c r="B66" t="s">
        <v>31</v>
      </c>
      <c r="C66" t="s">
        <v>32</v>
      </c>
      <c r="D66" t="s">
        <v>36</v>
      </c>
      <c r="E66" t="s">
        <v>102</v>
      </c>
    </row>
    <row r="67" spans="1:5" x14ac:dyDescent="0.35">
      <c r="B67">
        <v>1</v>
      </c>
      <c r="C67" t="s">
        <v>37</v>
      </c>
      <c r="D67">
        <v>92</v>
      </c>
      <c r="E67" t="str">
        <f>IF(D67&gt;=85,"Eligible","Not")</f>
        <v>Eligible</v>
      </c>
    </row>
    <row r="68" spans="1:5" x14ac:dyDescent="0.35">
      <c r="B68">
        <v>2</v>
      </c>
      <c r="C68" t="s">
        <v>38</v>
      </c>
      <c r="D68">
        <v>96</v>
      </c>
      <c r="E68" t="str">
        <f t="shared" ref="E68:E71" si="9">IF(D68&gt;=85,"Eligible","Not")</f>
        <v>Eligible</v>
      </c>
    </row>
    <row r="69" spans="1:5" x14ac:dyDescent="0.35">
      <c r="B69">
        <v>3</v>
      </c>
      <c r="C69" t="s">
        <v>39</v>
      </c>
      <c r="D69">
        <v>85</v>
      </c>
      <c r="E69" t="str">
        <f t="shared" si="9"/>
        <v>Eligible</v>
      </c>
    </row>
    <row r="70" spans="1:5" x14ac:dyDescent="0.35">
      <c r="B70">
        <v>4</v>
      </c>
      <c r="C70" t="s">
        <v>40</v>
      </c>
      <c r="D70">
        <v>98</v>
      </c>
      <c r="E70" t="str">
        <f t="shared" si="9"/>
        <v>Eligible</v>
      </c>
    </row>
    <row r="71" spans="1:5" x14ac:dyDescent="0.35">
      <c r="B71">
        <v>5</v>
      </c>
      <c r="C71" t="s">
        <v>41</v>
      </c>
      <c r="D71">
        <v>80</v>
      </c>
      <c r="E71" t="str">
        <f t="shared" si="9"/>
        <v>Not</v>
      </c>
    </row>
    <row r="73" spans="1:5" x14ac:dyDescent="0.35">
      <c r="A73" t="s">
        <v>57</v>
      </c>
    </row>
    <row r="74" spans="1:5" x14ac:dyDescent="0.35">
      <c r="B74" s="14" t="s">
        <v>103</v>
      </c>
      <c r="C74" t="s">
        <v>105</v>
      </c>
    </row>
    <row r="75" spans="1:5" x14ac:dyDescent="0.35">
      <c r="B75" s="15" t="s">
        <v>13</v>
      </c>
      <c r="C75" s="16">
        <v>135000</v>
      </c>
    </row>
    <row r="76" spans="1:5" x14ac:dyDescent="0.35">
      <c r="B76" s="15" t="s">
        <v>17</v>
      </c>
      <c r="C76" s="16">
        <v>30000</v>
      </c>
    </row>
    <row r="77" spans="1:5" x14ac:dyDescent="0.35">
      <c r="B77" s="15" t="s">
        <v>21</v>
      </c>
      <c r="C77" s="16">
        <v>18000</v>
      </c>
    </row>
    <row r="78" spans="1:5" x14ac:dyDescent="0.35">
      <c r="B78" s="15" t="s">
        <v>104</v>
      </c>
      <c r="C78" s="16">
        <v>183000</v>
      </c>
    </row>
    <row r="81" spans="1:3" x14ac:dyDescent="0.35">
      <c r="A81" t="s">
        <v>58</v>
      </c>
    </row>
    <row r="82" spans="1:3" x14ac:dyDescent="0.35">
      <c r="B82" s="14" t="s">
        <v>103</v>
      </c>
      <c r="C82" t="s">
        <v>105</v>
      </c>
    </row>
    <row r="83" spans="1:3" x14ac:dyDescent="0.35">
      <c r="B83" s="15" t="s">
        <v>19</v>
      </c>
      <c r="C83" s="16">
        <v>18000</v>
      </c>
    </row>
    <row r="84" spans="1:3" x14ac:dyDescent="0.35">
      <c r="B84" s="15" t="s">
        <v>11</v>
      </c>
      <c r="C84" s="16">
        <v>60000</v>
      </c>
    </row>
    <row r="85" spans="1:3" x14ac:dyDescent="0.35">
      <c r="B85" s="15" t="s">
        <v>15</v>
      </c>
      <c r="C85" s="16">
        <v>60000</v>
      </c>
    </row>
    <row r="86" spans="1:3" x14ac:dyDescent="0.35">
      <c r="B86" s="15" t="s">
        <v>23</v>
      </c>
      <c r="C86" s="16">
        <v>45000</v>
      </c>
    </row>
    <row r="87" spans="1:3" x14ac:dyDescent="0.35">
      <c r="B87" s="15" t="s">
        <v>104</v>
      </c>
      <c r="C87" s="16">
        <v>183000</v>
      </c>
    </row>
    <row r="90" spans="1:3" x14ac:dyDescent="0.35">
      <c r="A90" t="s">
        <v>59</v>
      </c>
    </row>
    <row r="103" spans="1:1" x14ac:dyDescent="0.35">
      <c r="A103" t="s">
        <v>60</v>
      </c>
    </row>
    <row r="118" spans="1:4" x14ac:dyDescent="0.35">
      <c r="A118" t="s">
        <v>61</v>
      </c>
      <c r="B118" t="s">
        <v>107</v>
      </c>
    </row>
    <row r="119" spans="1:4" x14ac:dyDescent="0.35">
      <c r="B119">
        <f>MEDIAN($E$57:$E$61)</f>
        <v>82</v>
      </c>
    </row>
    <row r="121" spans="1:4" x14ac:dyDescent="0.35">
      <c r="A121" t="s">
        <v>62</v>
      </c>
      <c r="B121" t="s">
        <v>108</v>
      </c>
    </row>
    <row r="122" spans="1:4" x14ac:dyDescent="0.35">
      <c r="B122" s="13">
        <f>_xlfn.STDEV.S($F$57:$F$61)</f>
        <v>14.737706741552426</v>
      </c>
    </row>
    <row r="124" spans="1:4" x14ac:dyDescent="0.35">
      <c r="A124" t="s">
        <v>63</v>
      </c>
      <c r="B124" t="s">
        <v>31</v>
      </c>
      <c r="C124" t="s">
        <v>32</v>
      </c>
      <c r="D124" t="s">
        <v>109</v>
      </c>
    </row>
    <row r="125" spans="1:4" x14ac:dyDescent="0.35">
      <c r="B125">
        <v>1</v>
      </c>
      <c r="C125" t="s">
        <v>37</v>
      </c>
      <c r="D125" t="str">
        <f>_xlfn.CONCAT(B125," ",C125)</f>
        <v>1 Rahul</v>
      </c>
    </row>
    <row r="126" spans="1:4" x14ac:dyDescent="0.35">
      <c r="B126">
        <v>2</v>
      </c>
      <c r="C126" t="s">
        <v>38</v>
      </c>
      <c r="D126" t="str">
        <f t="shared" ref="D126:D129" si="10">_xlfn.CONCAT(B126," ",C126)</f>
        <v>2 Sneha</v>
      </c>
    </row>
    <row r="127" spans="1:4" x14ac:dyDescent="0.35">
      <c r="B127">
        <v>3</v>
      </c>
      <c r="C127" t="s">
        <v>39</v>
      </c>
      <c r="D127" t="str">
        <f t="shared" si="10"/>
        <v>3 Arjun</v>
      </c>
    </row>
    <row r="128" spans="1:4" x14ac:dyDescent="0.35">
      <c r="B128">
        <v>4</v>
      </c>
      <c r="C128" t="s">
        <v>40</v>
      </c>
      <c r="D128" t="str">
        <f t="shared" si="10"/>
        <v>4 Pooja</v>
      </c>
    </row>
    <row r="129" spans="1:4" x14ac:dyDescent="0.35">
      <c r="B129">
        <v>5</v>
      </c>
      <c r="C129" t="s">
        <v>41</v>
      </c>
      <c r="D129" t="str">
        <f t="shared" si="10"/>
        <v>5 Vikas</v>
      </c>
    </row>
    <row r="132" spans="1:4" x14ac:dyDescent="0.35">
      <c r="A132" t="s">
        <v>64</v>
      </c>
      <c r="B132" t="s">
        <v>6</v>
      </c>
      <c r="C132" t="s">
        <v>110</v>
      </c>
    </row>
    <row r="133" spans="1:4" x14ac:dyDescent="0.35">
      <c r="B133" t="s">
        <v>12</v>
      </c>
      <c r="C133" t="str">
        <f>LEFT(B133,2)</f>
        <v>Am</v>
      </c>
    </row>
    <row r="134" spans="1:4" x14ac:dyDescent="0.35">
      <c r="B134" t="s">
        <v>16</v>
      </c>
      <c r="C134" t="str">
        <f t="shared" ref="C134:C138" si="11">LEFT(B134,2)</f>
        <v>Ri</v>
      </c>
    </row>
    <row r="135" spans="1:4" x14ac:dyDescent="0.35">
      <c r="B135" t="s">
        <v>20</v>
      </c>
      <c r="C135" t="str">
        <f t="shared" si="11"/>
        <v>Ku</v>
      </c>
    </row>
    <row r="136" spans="1:4" x14ac:dyDescent="0.35">
      <c r="B136" t="s">
        <v>24</v>
      </c>
      <c r="C136" t="str">
        <f t="shared" si="11"/>
        <v>Ne</v>
      </c>
    </row>
    <row r="137" spans="1:4" x14ac:dyDescent="0.35">
      <c r="B137" t="s">
        <v>12</v>
      </c>
      <c r="C137" t="str">
        <f t="shared" si="11"/>
        <v>Am</v>
      </c>
    </row>
    <row r="138" spans="1:4" x14ac:dyDescent="0.35">
      <c r="B138" t="s">
        <v>16</v>
      </c>
      <c r="C138" t="str">
        <f t="shared" si="11"/>
        <v>Ri</v>
      </c>
    </row>
    <row r="141" spans="1:4" x14ac:dyDescent="0.35">
      <c r="A141" t="s">
        <v>65</v>
      </c>
      <c r="C141" t="s">
        <v>78</v>
      </c>
    </row>
    <row r="142" spans="1:4" x14ac:dyDescent="0.35">
      <c r="C142">
        <v>106200</v>
      </c>
    </row>
    <row r="143" spans="1:4" x14ac:dyDescent="0.35">
      <c r="C143">
        <v>84000</v>
      </c>
    </row>
    <row r="144" spans="1:4" x14ac:dyDescent="0.35">
      <c r="C144">
        <v>60480</v>
      </c>
    </row>
    <row r="145" spans="1:3" x14ac:dyDescent="0.35">
      <c r="C145">
        <v>53100</v>
      </c>
    </row>
    <row r="146" spans="1:3" x14ac:dyDescent="0.35">
      <c r="C146">
        <v>67200</v>
      </c>
    </row>
    <row r="147" spans="1:3" x14ac:dyDescent="0.35">
      <c r="C147">
        <v>106200</v>
      </c>
    </row>
    <row r="149" spans="1:3" x14ac:dyDescent="0.35">
      <c r="A149" t="s">
        <v>66</v>
      </c>
      <c r="B149" s="8" t="s">
        <v>8</v>
      </c>
    </row>
    <row r="150" spans="1:3" x14ac:dyDescent="0.35">
      <c r="B150" s="8">
        <v>1</v>
      </c>
    </row>
    <row r="151" spans="1:3" x14ac:dyDescent="0.35">
      <c r="B151" s="8">
        <v>2</v>
      </c>
    </row>
    <row r="152" spans="1:3" x14ac:dyDescent="0.35">
      <c r="B152" s="8">
        <v>2</v>
      </c>
    </row>
    <row r="153" spans="1:3" x14ac:dyDescent="0.35">
      <c r="B153" s="8">
        <v>3</v>
      </c>
    </row>
    <row r="154" spans="1:3" x14ac:dyDescent="0.35">
      <c r="B154" s="8">
        <v>4</v>
      </c>
    </row>
    <row r="155" spans="1:3" x14ac:dyDescent="0.35">
      <c r="B155" s="8">
        <v>5</v>
      </c>
    </row>
  </sheetData>
  <autoFilter ref="A149:B155" xr:uid="{1505E34F-E5C8-437A-BFD0-B9D5B600F43C}">
    <sortState xmlns:xlrd2="http://schemas.microsoft.com/office/spreadsheetml/2017/richdata2" ref="A150:B155">
      <sortCondition ref="B149:B155"/>
    </sortState>
  </autoFilter>
  <conditionalFormatting sqref="C142:C147">
    <cfRule type="cellIs" dxfId="0" priority="1" operator="greaterThan">
      <formula>60000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Sheet2</vt:lpstr>
      <vt:lpstr>Sales_Data</vt:lpstr>
      <vt:lpstr>Product_Master</vt:lpstr>
      <vt:lpstr>Student_Marks</vt:lpstr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ASDC18</cp:lastModifiedBy>
  <dcterms:created xsi:type="dcterms:W3CDTF">2025-12-20T09:26:06Z</dcterms:created>
  <dcterms:modified xsi:type="dcterms:W3CDTF">2026-07-13T07:22:23Z</dcterms:modified>
</cp:coreProperties>
</file>